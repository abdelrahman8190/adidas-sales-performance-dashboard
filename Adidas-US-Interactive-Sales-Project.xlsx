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Advanced Data analyst\Session 5\Project\"/>
    </mc:Choice>
  </mc:AlternateContent>
  <xr:revisionPtr revIDLastSave="0" documentId="13_ncr:1_{E594E531-804E-4C68-98B1-695843F986E7}" xr6:coauthVersionLast="47" xr6:coauthVersionMax="47" xr10:uidLastSave="{00000000-0000-0000-0000-000000000000}"/>
  <bookViews>
    <workbookView xWindow="-120" yWindow="-120" windowWidth="20730" windowHeight="11040"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_xlchart.v5.0" hidden="1">Dashboard!$N$21</definedName>
    <definedName name="_xlchart.v5.1" hidden="1">Dashboard!$N$22</definedName>
    <definedName name="_xlchart.v5.2" hidden="1">'Pivot Tables'!$C$34</definedName>
    <definedName name="_xlchart.v5.3" hidden="1">'Pivot Tables'!$C$35:$C$39</definedName>
    <definedName name="_xlchart.v5.4" hidden="1">'Pivot Tables'!$D$33</definedName>
    <definedName name="_xlchart.v5.5" hidden="1">'Pivot Tables'!$D$34</definedName>
    <definedName name="_xlchart.v5.6" hidden="1">'Pivot Tables'!$D$35:$D$39</definedName>
    <definedName name="_xlchart.v5.7" hidden="1">Dashboard!$N$21</definedName>
    <definedName name="_xlchart.v5.8" hidden="1">Dashboard!$N$22</definedName>
    <definedName name="NativeTimeline_Order_Date">#N/A</definedName>
    <definedName name="Slicer_Payment_Method">#N/A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3" l="1"/>
  <c r="W4" i="3"/>
  <c r="M4" i="3"/>
</calcChain>
</file>

<file path=xl/sharedStrings.xml><?xml version="1.0" encoding="utf-8"?>
<sst xmlns="http://schemas.openxmlformats.org/spreadsheetml/2006/main" count="8512" uniqueCount="1261">
  <si>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</si>
  <si>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</si>
  <si>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</si>
  <si>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</si>
  <si>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</si>
  <si>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</si>
  <si>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</si>
  <si>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</si>
  <si>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</si>
  <si>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</si>
  <si>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</si>
  <si>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</si>
  <si>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</si>
  <si>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</si>
  <si>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</si>
  <si>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</si>
  <si>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</si>
  <si>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</si>
  <si>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</si>
  <si>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</si>
  <si>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</si>
  <si>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</si>
  <si>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</si>
  <si>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</si>
  <si>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</si>
  <si>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</si>
  <si>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</si>
  <si>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</si>
  <si>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</si>
  <si>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</si>
  <si>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</si>
  <si>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</si>
  <si>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</si>
  <si>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</si>
  <si>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</si>
  <si>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</si>
  <si>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</si>
  <si>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</si>
  <si>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</si>
  <si>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</si>
  <si>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</si>
  <si>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</si>
  <si>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</si>
  <si>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</si>
  <si>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</si>
  <si>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</si>
  <si>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</si>
  <si>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</si>
  <si>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</si>
  <si>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</si>
  <si>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</si>
  <si>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</si>
  <si>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</si>
  <si>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</si>
  <si>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</si>
  <si>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</si>
  <si>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</si>
  <si>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</si>
  <si>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</si>
  <si>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</si>
  <si>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</si>
  <si>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</si>
  <si>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</si>
  <si>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</si>
  <si>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</si>
  <si>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</si>
  <si>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</si>
  <si>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</si>
  <si>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</si>
  <si>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</si>
  <si>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</si>
  <si>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</si>
  <si>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</si>
  <si>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</si>
  <si>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</si>
  <si>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</si>
  <si>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</si>
  <si>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</si>
  <si>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</si>
  <si>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</si>
  <si>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</si>
  <si>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</si>
  <si>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</si>
  <si>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</si>
  <si>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</si>
  <si>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</si>
  <si>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</si>
  <si>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</si>
  <si>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</si>
  <si>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</si>
  <si>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</si>
  <si>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</si>
  <si>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</si>
  <si>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</si>
  <si>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</si>
  <si>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</si>
  <si>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</si>
  <si>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</si>
  <si>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</si>
  <si>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</si>
  <si>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</si>
  <si>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</si>
  <si>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</si>
  <si>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</si>
  <si>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</si>
  <si>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</si>
  <si>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</si>
  <si>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</si>
  <si>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</si>
  <si>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</si>
  <si>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</si>
  <si>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</si>
  <si>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</si>
  <si>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</si>
  <si>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</si>
  <si>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</si>
  <si>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</si>
  <si>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</si>
  <si>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</si>
  <si>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</si>
  <si>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</si>
  <si>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</si>
  <si>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</si>
  <si>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</si>
  <si>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</si>
  <si>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</si>
  <si>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</si>
  <si>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</si>
  <si>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</si>
  <si>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</si>
  <si>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</si>
  <si>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</si>
  <si>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</si>
  <si>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</si>
  <si>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</si>
  <si>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</si>
  <si>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</si>
  <si>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</si>
  <si>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</si>
  <si>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</si>
  <si>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</si>
  <si>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</si>
  <si>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</si>
  <si>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</si>
  <si>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</si>
  <si>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</si>
  <si>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</si>
  <si>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</si>
  <si>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</si>
  <si>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</si>
  <si>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</si>
  <si>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</si>
  <si>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</si>
  <si>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</si>
  <si>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</si>
  <si>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</si>
  <si>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</si>
  <si>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</si>
  <si>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</si>
  <si>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</si>
  <si>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</si>
  <si>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</si>
  <si>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</si>
  <si>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</si>
  <si>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</si>
  <si>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</si>
  <si>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</si>
  <si>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</si>
  <si>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</si>
  <si>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</si>
  <si>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</si>
  <si>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</si>
  <si>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</si>
  <si>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</si>
  <si>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</si>
  <si>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</si>
  <si>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</si>
  <si>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</si>
  <si>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</si>
  <si>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</si>
  <si>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</si>
  <si>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</si>
  <si>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</si>
  <si>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</si>
  <si>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</si>
  <si>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</si>
  <si>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</si>
  <si>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</si>
  <si>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</si>
  <si>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</si>
  <si>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</si>
  <si>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</si>
  <si>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</si>
  <si>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</si>
  <si>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</si>
  <si>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</si>
  <si>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</si>
  <si>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</si>
  <si>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</si>
  <si>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</si>
  <si>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</si>
  <si>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</si>
  <si>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</si>
  <si>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</si>
  <si>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</si>
  <si>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</si>
  <si>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</si>
  <si>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</si>
  <si>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</si>
  <si>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</si>
  <si>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</si>
  <si>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</si>
  <si>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</si>
  <si>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</si>
  <si>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</si>
  <si>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</si>
  <si>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</si>
  <si>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</si>
  <si>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</si>
  <si>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</si>
  <si>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</si>
  <si>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</si>
  <si>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</si>
  <si>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</si>
  <si>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</si>
  <si>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</si>
  <si>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</si>
  <si>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</si>
  <si>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</si>
  <si>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</si>
  <si>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</si>
  <si>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</si>
  <si>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</si>
  <si>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</si>
  <si>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</si>
  <si>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</si>
  <si>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</si>
  <si>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</si>
  <si>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</si>
  <si>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</si>
  <si>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</si>
  <si>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</si>
  <si>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</si>
  <si>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</si>
  <si>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</si>
  <si>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</si>
  <si>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</si>
  <si>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</si>
  <si>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</si>
  <si>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</si>
  <si>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</si>
  <si>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</si>
  <si>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</si>
  <si>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</si>
  <si>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</si>
  <si>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</si>
  <si>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</si>
  <si>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</si>
  <si>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</si>
  <si>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</si>
  <si>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</si>
  <si>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</si>
  <si>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</si>
  <si>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</si>
  <si>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</si>
  <si>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</si>
  <si>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</si>
  <si>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</si>
  <si>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</si>
  <si>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</si>
  <si>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</si>
  <si>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</si>
  <si>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</si>
  <si>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</si>
  <si>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</si>
  <si>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</si>
  <si>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</si>
  <si>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</si>
  <si>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</si>
  <si>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</si>
  <si>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</si>
  <si>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</si>
  <si>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</si>
  <si>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</si>
  <si>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</si>
  <si>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</si>
  <si>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</si>
  <si>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</si>
  <si>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</si>
  <si>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</si>
  <si>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</si>
  <si>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</si>
  <si>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</si>
  <si>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</si>
  <si>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</si>
  <si>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</si>
  <si>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</si>
  <si>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</si>
  <si>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</si>
  <si>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</si>
  <si>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</si>
  <si>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</si>
  <si>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</si>
  <si>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</si>
  <si>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</si>
  <si>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</si>
  <si>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</si>
  <si>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</si>
  <si>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</si>
  <si>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</si>
  <si>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</si>
  <si>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</si>
  <si>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</si>
  <si>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</si>
  <si>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</si>
  <si>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</si>
  <si>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</si>
  <si>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</si>
  <si>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</si>
  <si>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</si>
  <si>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</si>
  <si>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</si>
  <si>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</si>
  <si>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</si>
  <si>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</si>
  <si>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</si>
  <si>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</si>
  <si>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</si>
  <si>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</si>
  <si>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</si>
  <si>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</si>
  <si>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</si>
  <si>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</si>
  <si>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</si>
  <si>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</si>
  <si>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</si>
  <si>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</si>
  <si>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</si>
  <si>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</si>
  <si>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</si>
  <si>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</si>
  <si>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</si>
  <si>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</si>
  <si>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</si>
  <si>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</si>
  <si>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</si>
  <si>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</si>
  <si>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</si>
  <si>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</si>
  <si>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</si>
  <si>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</si>
  <si>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</si>
  <si>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</si>
  <si>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</si>
  <si>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</si>
  <si>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</si>
  <si>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</si>
  <si>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</si>
  <si>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</si>
  <si>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</si>
  <si>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</si>
  <si>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</si>
  <si>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</si>
  <si>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</si>
  <si>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</si>
  <si>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</si>
  <si>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</si>
  <si>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</si>
  <si>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</si>
  <si>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</si>
  <si>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</si>
  <si>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</si>
  <si>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</si>
  <si>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</si>
  <si>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</si>
  <si>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</si>
  <si>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</si>
  <si>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</si>
  <si>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</si>
  <si>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</si>
  <si>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</si>
  <si>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</si>
  <si>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</si>
  <si>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</si>
  <si>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</si>
  <si>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</si>
  <si>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</si>
  <si>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</si>
  <si>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</si>
  <si>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</si>
  <si>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</si>
  <si>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</si>
  <si>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</si>
  <si>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</si>
  <si>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</si>
  <si>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</si>
  <si>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</si>
  <si>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</si>
  <si>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</si>
  <si>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</si>
  <si>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</si>
  <si>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</si>
  <si>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</si>
  <si>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</si>
  <si>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</si>
  <si>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</si>
  <si>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</si>
  <si>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</si>
  <si>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</si>
  <si>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</si>
  <si>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</si>
  <si>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</si>
  <si>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</si>
  <si>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</si>
  <si>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</si>
  <si>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</si>
  <si>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</si>
  <si>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</si>
  <si>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</si>
  <si>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</si>
  <si>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</si>
  <si>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</si>
  <si>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</si>
  <si>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</si>
  <si>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</si>
  <si>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</si>
  <si>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</si>
  <si>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</si>
  <si>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</si>
  <si>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</si>
  <si>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</si>
  <si>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</si>
  <si>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</si>
  <si>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</si>
  <si>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</si>
  <si>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</si>
  <si>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</si>
  <si>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</si>
  <si>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</si>
  <si>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</si>
  <si>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</si>
  <si>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</si>
  <si>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</si>
  <si>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</si>
  <si>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</si>
  <si>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</si>
  <si>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</si>
  <si>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</si>
  <si>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</si>
  <si>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</si>
  <si>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</si>
  <si>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</si>
  <si>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</si>
  <si>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</si>
  <si>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</si>
  <si>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</si>
  <si>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</si>
  <si>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</si>
  <si>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</si>
  <si>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</si>
  <si>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</si>
  <si>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</si>
  <si>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</si>
  <si>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</si>
  <si>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</si>
  <si>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</si>
  <si>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</si>
  <si>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</si>
  <si>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</si>
  <si>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</si>
  <si>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</si>
  <si>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</si>
  <si>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</si>
  <si>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</si>
  <si>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</si>
  <si>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</si>
  <si>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</si>
  <si>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</si>
  <si>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</si>
  <si>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</si>
  <si>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</si>
  <si>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</si>
  <si>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</si>
  <si>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</si>
  <si>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</si>
  <si>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</si>
  <si>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</si>
  <si>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</si>
  <si>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</si>
  <si>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</si>
  <si>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</si>
  <si>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</si>
  <si>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</si>
  <si>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</si>
  <si>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</si>
  <si>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</si>
  <si>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</si>
  <si>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</si>
  <si>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</si>
  <si>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</si>
  <si>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</si>
  <si>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</si>
  <si>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</si>
  <si>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</si>
  <si>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</si>
  <si>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</si>
  <si>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</si>
  <si>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</si>
  <si>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</si>
  <si>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</si>
  <si>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</si>
  <si>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</si>
  <si>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</si>
  <si>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</si>
  <si>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</si>
  <si>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</si>
  <si>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</si>
  <si>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</si>
  <si>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</si>
  <si>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</si>
  <si>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</si>
  <si>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</si>
  <si>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</si>
  <si>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</si>
  <si>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</si>
  <si>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</si>
  <si>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</si>
  <si>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</si>
  <si>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</si>
  <si>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</si>
  <si>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</si>
  <si>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</si>
  <si>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</si>
  <si>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</si>
  <si>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</si>
  <si>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</si>
  <si>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</si>
  <si>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</si>
  <si>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</si>
  <si>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</si>
  <si>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</si>
  <si>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</si>
  <si>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</si>
  <si>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</si>
  <si>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</si>
  <si>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</si>
  <si>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</si>
  <si>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</si>
  <si>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</si>
  <si>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</si>
  <si>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</si>
  <si>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</si>
  <si>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</si>
  <si>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</si>
  <si>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</si>
  <si>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</si>
  <si>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</si>
  <si>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</si>
  <si>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</si>
  <si>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</si>
  <si>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</si>
  <si>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</si>
  <si>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</si>
  <si>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</si>
  <si>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</si>
  <si>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</si>
  <si>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</si>
  <si>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</si>
  <si>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</si>
  <si>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</si>
  <si>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</si>
  <si>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</si>
  <si>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</si>
  <si>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</si>
  <si>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</si>
  <si>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</si>
  <si>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</si>
  <si>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</si>
  <si>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</si>
  <si>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</si>
  <si>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</si>
  <si>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</si>
  <si>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</si>
  <si>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</si>
  <si>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</si>
  <si>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</si>
  <si>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</si>
  <si>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</si>
  <si>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</si>
  <si>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</si>
  <si>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</si>
  <si>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</si>
  <si>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</si>
  <si>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</si>
  <si>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</si>
  <si>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</si>
  <si>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</si>
  <si>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</si>
  <si>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</si>
  <si>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</si>
  <si>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</si>
  <si>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</si>
  <si>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</si>
  <si>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</si>
  <si>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</si>
  <si>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</si>
  <si>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</si>
  <si>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</si>
  <si>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</si>
  <si>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</si>
  <si>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</si>
  <si>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</si>
  <si>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</si>
  <si>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</si>
  <si>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</si>
  <si>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</si>
  <si>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</si>
  <si>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</si>
  <si>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</si>
  <si>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</si>
  <si>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</si>
  <si>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</si>
  <si>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</si>
  <si>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</si>
  <si>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</si>
  <si>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</si>
  <si>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</si>
  <si>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</si>
  <si>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</si>
  <si>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</si>
  <si>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</si>
  <si>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</si>
  <si>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</si>
  <si>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</si>
  <si>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</si>
  <si>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</si>
  <si>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</si>
  <si>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</si>
  <si>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</si>
  <si>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</si>
  <si>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</si>
  <si>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</si>
  <si>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</si>
  <si>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</si>
  <si>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</si>
  <si>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</si>
  <si>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</si>
  <si>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</si>
  <si>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</si>
  <si>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</si>
  <si>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</si>
  <si>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</si>
  <si>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</si>
  <si>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</si>
  <si>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</si>
  <si>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</si>
  <si>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</si>
  <si>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</si>
  <si>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</si>
  <si>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</si>
  <si>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</si>
  <si>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</si>
  <si>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</si>
  <si>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</si>
  <si>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</si>
  <si>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</si>
  <si>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</si>
  <si>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</si>
  <si>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</si>
  <si>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</si>
  <si>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</si>
  <si>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</si>
  <si>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</si>
  <si>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</si>
  <si>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</si>
  <si>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</si>
  <si>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</si>
  <si>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</si>
  <si>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</si>
  <si>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</si>
  <si>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</si>
  <si>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</si>
  <si>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</si>
  <si>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</si>
  <si>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</si>
  <si>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</si>
  <si>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</si>
  <si>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</si>
  <si>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</si>
  <si>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</si>
  <si>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</si>
  <si>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</si>
  <si>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</si>
  <si>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</si>
  <si>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</si>
  <si>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</si>
  <si>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</si>
  <si>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</si>
  <si>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</si>
  <si>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</si>
  <si>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</si>
  <si>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</si>
  <si>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</si>
  <si>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</si>
  <si>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</si>
  <si>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</si>
  <si>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</si>
  <si>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</si>
  <si>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</si>
  <si>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</si>
  <si>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</si>
  <si>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</si>
  <si>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</si>
  <si>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</si>
  <si>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</si>
  <si>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</si>
  <si>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</si>
  <si>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</si>
  <si>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</si>
  <si>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</si>
  <si>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</si>
  <si>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</si>
  <si>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</si>
  <si>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</si>
  <si>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</si>
  <si>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</si>
  <si>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</si>
  <si>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</si>
  <si>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</si>
  <si>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</si>
  <si>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</si>
  <si>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</si>
  <si>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</si>
  <si>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</si>
  <si>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</si>
  <si>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</si>
  <si>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</si>
  <si>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</si>
  <si>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</si>
  <si>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</si>
  <si>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</si>
  <si>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</si>
  <si>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</si>
  <si>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</si>
  <si>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</si>
  <si>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</si>
  <si>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</si>
  <si>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</si>
  <si>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</si>
  <si>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</si>
  <si>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</si>
  <si>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</si>
  <si>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</si>
  <si>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</si>
  <si>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</si>
  <si>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</si>
  <si>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</si>
  <si>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</si>
  <si>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</si>
  <si>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</si>
  <si>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</si>
  <si>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</si>
  <si>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</si>
  <si>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</si>
  <si>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</si>
  <si>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</si>
  <si>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</si>
  <si>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</si>
  <si>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</si>
  <si>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</si>
  <si>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</si>
  <si>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</si>
  <si>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</si>
  <si>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</si>
  <si>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</si>
  <si>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</si>
  <si>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</si>
  <si>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</si>
  <si>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</si>
  <si>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</si>
  <si>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</si>
  <si>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</si>
  <si>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</si>
  <si>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</si>
  <si>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</si>
  <si>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</si>
  <si>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</si>
  <si>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</si>
  <si>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</si>
  <si>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</si>
  <si>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</si>
  <si>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</si>
  <si>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</si>
  <si>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</si>
  <si>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</si>
  <si>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</si>
  <si>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</si>
  <si>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</si>
  <si>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</si>
  <si>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</si>
  <si>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</si>
  <si>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</si>
  <si>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</si>
  <si>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</si>
  <si>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</si>
  <si>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</si>
  <si>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</si>
  <si>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</si>
  <si>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</si>
  <si>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</si>
  <si>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</si>
  <si>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</si>
  <si>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</si>
  <si>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</si>
  <si>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</si>
  <si>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</si>
  <si>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</si>
  <si>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</si>
  <si>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</si>
  <si>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</si>
  <si>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</si>
  <si>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</si>
  <si>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</si>
  <si>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</si>
  <si>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</si>
  <si>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</si>
  <si>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</si>
  <si>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</si>
  <si>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</si>
  <si>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</si>
  <si>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</si>
  <si>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</si>
  <si>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</si>
  <si>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</si>
  <si>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</si>
  <si>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</si>
  <si>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</si>
  <si>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</si>
  <si>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</si>
  <si>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</si>
  <si>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</si>
  <si>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</si>
  <si>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</si>
  <si>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</si>
  <si>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</si>
  <si>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</si>
  <si>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</si>
  <si>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</si>
  <si>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</si>
  <si>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</si>
  <si>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</si>
  <si>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</si>
  <si>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</si>
  <si>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</si>
  <si>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</si>
  <si>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</si>
  <si>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</si>
  <si>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</si>
  <si>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</si>
  <si>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</si>
  <si>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</si>
  <si>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</si>
  <si>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</si>
  <si>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</si>
  <si>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</si>
  <si>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</si>
  <si>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</si>
  <si>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</si>
  <si>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</si>
  <si>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</si>
  <si>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</si>
  <si>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</si>
  <si>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</si>
  <si>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</si>
  <si>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</si>
  <si>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</si>
  <si>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</si>
  <si>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</si>
  <si>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</si>
  <si>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</si>
  <si>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</si>
  <si>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</si>
  <si>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</si>
  <si>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</si>
  <si>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</si>
  <si>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</si>
  <si>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</si>
  <si>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</si>
  <si>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</si>
  <si>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</si>
  <si>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</si>
  <si>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</si>
  <si>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</si>
  <si>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</si>
  <si>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</si>
  <si>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</si>
  <si>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</si>
  <si>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</si>
  <si>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</si>
  <si>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</si>
  <si>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</si>
  <si>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</si>
  <si>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</si>
  <si>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</si>
  <si>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</si>
  <si>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</si>
  <si>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</si>
  <si>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</si>
  <si>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</si>
  <si>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</si>
  <si>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</si>
  <si>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</si>
  <si>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</si>
  <si>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</si>
  <si>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</si>
  <si>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</si>
  <si>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</si>
  <si>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</si>
  <si>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</si>
  <si>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</si>
  <si>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</si>
  <si>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</si>
  <si>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</si>
  <si>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</si>
  <si>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</si>
  <si>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</si>
  <si>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</si>
  <si>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</si>
  <si>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</si>
  <si>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</si>
  <si>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</si>
  <si>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</si>
  <si>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</si>
  <si>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</si>
  <si>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</si>
  <si>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</si>
  <si>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</si>
  <si>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</si>
  <si>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</si>
  <si>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</si>
  <si>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</si>
  <si>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</si>
  <si>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</si>
  <si>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</si>
  <si>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</si>
  <si>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</si>
  <si>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</si>
  <si>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</si>
  <si>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</si>
  <si>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</si>
  <si>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</si>
  <si>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</si>
  <si>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</si>
  <si>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</si>
  <si>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</si>
  <si>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</si>
  <si>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</si>
  <si>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</si>
  <si>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</si>
  <si>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</si>
  <si>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</si>
  <si>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</si>
  <si>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</si>
  <si>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</si>
  <si>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</si>
  <si>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</si>
  <si>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</si>
  <si>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</si>
  <si>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</si>
  <si>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</si>
  <si>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</si>
  <si>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</si>
  <si>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</si>
  <si>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</si>
  <si>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</si>
  <si>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</si>
  <si>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</si>
  <si>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</si>
  <si>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</si>
  <si>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</si>
  <si>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</si>
  <si>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</si>
  <si>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</si>
  <si>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</si>
  <si>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</si>
  <si>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</si>
  <si>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</si>
  <si>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</si>
  <si>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</si>
  <si>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</si>
  <si>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</si>
  <si>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</si>
  <si>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</si>
  <si>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</si>
  <si>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</si>
  <si>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</si>
  <si>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</si>
  <si>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</si>
  <si>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</si>
  <si>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</si>
  <si>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</si>
  <si>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</si>
  <si>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</si>
  <si>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</si>
  <si>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</si>
  <si>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</si>
  <si>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</si>
  <si>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</si>
  <si>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</si>
  <si>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</si>
  <si>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</si>
  <si>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</si>
  <si>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</si>
  <si>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</si>
  <si>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</si>
  <si>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</si>
  <si>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</si>
  <si>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</si>
  <si>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</si>
  <si>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</si>
  <si>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</si>
  <si>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</si>
  <si>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</si>
  <si>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</si>
  <si>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</si>
  <si>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</si>
  <si>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</si>
  <si>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</si>
  <si>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</si>
  <si>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</si>
  <si>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</si>
  <si>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</si>
  <si>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</si>
  <si>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</si>
  <si>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</si>
  <si>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</si>
  <si>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</si>
  <si>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</si>
  <si>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</si>
  <si>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</si>
  <si>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</si>
  <si>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</si>
  <si>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</si>
  <si>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</si>
  <si>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</si>
  <si>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</si>
  <si>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</si>
  <si>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</si>
  <si>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</si>
  <si>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</si>
  <si>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</si>
  <si>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</si>
  <si>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</si>
  <si>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</si>
  <si>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</si>
  <si>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</si>
  <si>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</si>
  <si>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</si>
  <si>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</si>
  <si>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</si>
  <si>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</si>
  <si>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</si>
  <si>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</si>
  <si>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</si>
  <si>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</si>
  <si>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</si>
  <si>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</si>
  <si>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</si>
  <si>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</si>
  <si>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</si>
  <si>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</si>
  <si>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</si>
  <si>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</si>
  <si>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</si>
  <si>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</si>
  <si>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</si>
  <si>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</si>
  <si>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</si>
  <si>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</si>
  <si>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</si>
  <si>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</si>
  <si>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</si>
  <si>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</si>
  <si>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</si>
  <si>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</si>
  <si>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</si>
  <si>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</si>
  <si>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</si>
  <si>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</si>
  <si>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</si>
  <si>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</si>
  <si>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</si>
  <si>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</si>
  <si>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</si>
  <si>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</si>
  <si>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</si>
  <si>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</si>
  <si>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</si>
  <si>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</si>
  <si>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</si>
  <si>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</si>
  <si>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</si>
  <si>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</si>
  <si>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</si>
  <si>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</si>
  <si>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</si>
  <si>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</si>
  <si>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</si>
  <si>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</si>
  <si>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</si>
  <si>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</si>
  <si>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</si>
  <si>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</si>
  <si>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</si>
  <si>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</si>
  <si>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</si>
  <si>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</si>
  <si>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</si>
  <si>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</si>
  <si>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</si>
  <si>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</si>
  <si>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</si>
  <si>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</si>
  <si>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</si>
  <si>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</si>
  <si>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</si>
  <si>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</si>
  <si>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</si>
  <si>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</si>
  <si>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</si>
  <si>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</si>
  <si>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</si>
  <si>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</si>
  <si>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</si>
  <si>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</si>
  <si>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</si>
  <si>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</si>
  <si>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</si>
  <si>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</si>
  <si>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</si>
  <si>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</si>
  <si>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</si>
  <si>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</si>
  <si>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</si>
  <si>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</si>
  <si>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</si>
  <si>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</si>
  <si>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</si>
  <si>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</si>
  <si>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</si>
  <si>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</si>
  <si>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</si>
  <si>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</si>
  <si>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</si>
  <si>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</si>
  <si>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</si>
  <si>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</si>
  <si>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</si>
  <si>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</si>
  <si>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</si>
  <si>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</si>
  <si>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</si>
  <si>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</si>
  <si>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</si>
  <si>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</si>
  <si>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</si>
  <si>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</si>
  <si>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</si>
  <si>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</si>
  <si>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</si>
  <si>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</si>
  <si>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</si>
  <si>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</si>
  <si>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</si>
  <si>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</si>
  <si>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</si>
  <si>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</si>
  <si>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</si>
  <si>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</si>
  <si>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</si>
  <si>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</si>
  <si>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</si>
  <si>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</si>
  <si>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</si>
  <si>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</si>
  <si>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</si>
  <si>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</si>
  <si>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</si>
  <si>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</si>
  <si>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</si>
  <si>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</si>
  <si>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</si>
  <si>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</si>
  <si>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</si>
  <si>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</si>
  <si>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</si>
  <si>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</si>
  <si>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</si>
  <si>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</si>
  <si>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</si>
  <si>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</si>
  <si>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</si>
  <si>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</si>
  <si>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</si>
  <si>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</si>
  <si>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</si>
  <si>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</si>
  <si>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</si>
  <si>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</si>
  <si>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</si>
  <si>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</si>
  <si>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</si>
  <si>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</si>
  <si>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</si>
  <si>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</si>
  <si>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</si>
  <si>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</si>
  <si>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</si>
  <si>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</si>
  <si>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</si>
  <si>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</si>
  <si>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</si>
  <si>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</si>
  <si>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</si>
  <si>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</si>
  <si>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</si>
  <si>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</si>
  <si>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</si>
  <si>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</si>
  <si>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</si>
  <si>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</si>
  <si>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</si>
  <si>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</si>
  <si>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</si>
  <si>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</si>
  <si>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</si>
  <si>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</si>
  <si>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</si>
  <si>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</si>
  <si>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Lebanon</t>
  </si>
  <si>
    <t>Iraq</t>
  </si>
  <si>
    <t>Row Labels</t>
  </si>
  <si>
    <t>Grand Total</t>
  </si>
  <si>
    <t>Sum of Profit</t>
  </si>
  <si>
    <t>2023</t>
  </si>
  <si>
    <t>2024</t>
  </si>
  <si>
    <t>2025</t>
  </si>
  <si>
    <t>Qtr1</t>
  </si>
  <si>
    <t>Qtr2</t>
  </si>
  <si>
    <t>Qtr3</t>
  </si>
  <si>
    <t>Qtr4</t>
  </si>
  <si>
    <t>Sum of Revenue</t>
  </si>
  <si>
    <t>Count of Payment_Method</t>
  </si>
  <si>
    <t>Sum of Units_Sold</t>
  </si>
  <si>
    <t>Saudi arabia</t>
  </si>
  <si>
    <t>Sum of Unit_Price</t>
  </si>
  <si>
    <t>Count of Region</t>
  </si>
  <si>
    <t>Adidas Us Interactive Sales Dashboard</t>
  </si>
  <si>
    <t xml:space="preserve">Unit Sold  | </t>
  </si>
  <si>
    <t>Region |</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</si>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</sst>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name val="Aptos Narrow"/>
      <family val="2"/>
      <scheme val="minor"/>
    </font>
    <font>
      <b/>
      <sz val="16"/>
      <color theme="0"/>
      <name val="Aptos Narrow"/>
      <family val="2"/>
      <scheme val="minor"/>
    </font>
    <font>
      <b/>
      <sz val="16"/>
      <color theme="0"/>
      <name val="Amasis MT Pro Black"/>
      <family val="1"/>
    </font>
    <font>
      <b/>
      <sz val="16"/>
      <color theme="0"/>
      <name val="Aptos Display"/>
      <family val="2"/>
    </font>
    <font>
      <sz val="20"/>
      <color theme="0"/>
      <name val="Aptos Narrow"/>
      <family val="1"/>
      <scheme val="minor"/>
    </font>
    <font>
      <sz val="20"/>
      <color theme="0"/>
      <name val="Aptos Narrow"/>
      <family val="2"/>
      <scheme val="minor"/>
    </font>
    <font>
      <b/>
      <sz val="24"/>
      <color theme="0"/>
      <name val="Amasis MT Pro Black"/>
      <family val="1"/>
    </font>
    <font>
      <b/>
      <sz val="24"/>
      <name val="Amasis MT Pro Black"/>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70C0"/>
        <bgColor indexed="64"/>
      </patternFill>
    </fill>
    <fill>
      <patternFill patternType="solid">
        <fgColor theme="3"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0" borderId="0" xfId="0" applyNumberFormat="1"/>
    <xf numFmtId="0" fontId="0" fillId="0" borderId="0" xfId="0" applyAlignment="1">
      <alignment horizontal="left" indent="1"/>
    </xf>
    <xf numFmtId="10" fontId="0" fillId="0" borderId="0" xfId="0" applyNumberFormat="1"/>
    <xf numFmtId="9" fontId="0" fillId="0" borderId="0" xfId="0" applyNumberFormat="1"/>
    <xf numFmtId="0" fontId="0" fillId="0" borderId="0" xfId="0" applyAlignment="1">
      <alignment horizontal="center"/>
    </xf>
    <xf numFmtId="0" fontId="18" fillId="0" borderId="0" xfId="0" applyFont="1" applyAlignment="1">
      <alignment vertical="top"/>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9" fillId="35" borderId="0" xfId="0" applyFont="1" applyFill="1" applyAlignment="1">
      <alignment horizontal="center" vertical="center"/>
    </xf>
    <xf numFmtId="0" fontId="20" fillId="35" borderId="0" xfId="0" applyFont="1" applyFill="1" applyAlignment="1">
      <alignment horizontal="center" vertical="center"/>
    </xf>
    <xf numFmtId="0" fontId="21" fillId="35" borderId="0" xfId="0" applyFont="1" applyFill="1" applyAlignment="1">
      <alignment horizontal="center" vertical="center"/>
    </xf>
    <xf numFmtId="0" fontId="19" fillId="35" borderId="0" xfId="0" applyFont="1" applyFill="1" applyAlignment="1">
      <alignment vertical="center"/>
    </xf>
    <xf numFmtId="0" fontId="20" fillId="35" borderId="0" xfId="0" applyFont="1" applyFill="1" applyAlignment="1">
      <alignment vertical="center"/>
    </xf>
    <xf numFmtId="0" fontId="22" fillId="35" borderId="0" xfId="0" applyFont="1" applyFill="1" applyAlignment="1">
      <alignment vertical="top"/>
    </xf>
    <xf numFmtId="0" fontId="23" fillId="35" borderId="0" xfId="0" applyFont="1" applyFill="1" applyAlignment="1">
      <alignment vertical="top"/>
    </xf>
    <xf numFmtId="0" fontId="24" fillId="34" borderId="0" xfId="0" applyFont="1" applyFill="1" applyAlignment="1">
      <alignment horizontal="center" vertical="center"/>
    </xf>
    <xf numFmtId="0" fontId="25"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Profit Per Prodect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Tables'!$D$2</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Tables'!$C$3:$C$11</c:f>
              <c:multiLvlStrCache>
                <c:ptCount val="7"/>
                <c:lvl>
                  <c:pt idx="0">
                    <c:v>Accessories</c:v>
                  </c:pt>
                  <c:pt idx="1">
                    <c:v>Apparel</c:v>
                  </c:pt>
                  <c:pt idx="2">
                    <c:v>Footwear</c:v>
                  </c:pt>
                  <c:pt idx="3">
                    <c:v>Accessories</c:v>
                  </c:pt>
                  <c:pt idx="4">
                    <c:v>Apparel</c:v>
                  </c:pt>
                  <c:pt idx="5">
                    <c:v>Footwear</c:v>
                  </c:pt>
                </c:lvl>
                <c:lvl>
                  <c:pt idx="0">
                    <c:v>Female</c:v>
                  </c:pt>
                  <c:pt idx="3">
                    <c:v>Male</c:v>
                  </c:pt>
                  <c:pt idx="6">
                    <c:v>Other</c:v>
                  </c:pt>
                </c:lvl>
              </c:multiLvlStrCache>
            </c:multiLvlStrRef>
          </c:cat>
          <c:val>
            <c:numRef>
              <c:f>'Pivot Tables'!$D$3:$D$11</c:f>
              <c:numCache>
                <c:formatCode>General</c:formatCode>
                <c:ptCount val="7"/>
                <c:pt idx="0">
                  <c:v>4661.0200000000004</c:v>
                </c:pt>
                <c:pt idx="1">
                  <c:v>9682.5</c:v>
                </c:pt>
                <c:pt idx="2">
                  <c:v>22836.05000000001</c:v>
                </c:pt>
                <c:pt idx="3">
                  <c:v>5465.4100000000008</c:v>
                </c:pt>
                <c:pt idx="4">
                  <c:v>11959.75</c:v>
                </c:pt>
                <c:pt idx="5">
                  <c:v>29296.449999999993</c:v>
                </c:pt>
                <c:pt idx="6">
                  <c:v>1168.6699999999998</c:v>
                </c:pt>
              </c:numCache>
            </c:numRef>
          </c:val>
          <c:extLst>
            <c:ext xmlns:c16="http://schemas.microsoft.com/office/drawing/2014/chart" uri="{C3380CC4-5D6E-409C-BE32-E72D297353CC}">
              <c16:uniqueId val="{00000004-E605-41E5-B864-3CE4DD762E87}"/>
            </c:ext>
          </c:extLst>
        </c:ser>
        <c:dLbls>
          <c:dLblPos val="outEnd"/>
          <c:showLegendKey val="0"/>
          <c:showVal val="1"/>
          <c:showCatName val="0"/>
          <c:showSerName val="0"/>
          <c:showPercent val="0"/>
          <c:showBubbleSize val="0"/>
        </c:dLbls>
        <c:gapWidth val="219"/>
        <c:overlap val="-27"/>
        <c:axId val="2079893776"/>
        <c:axId val="2079897616"/>
      </c:barChart>
      <c:catAx>
        <c:axId val="2079893776"/>
        <c:scaling>
          <c:orientation val="minMax"/>
        </c:scaling>
        <c:delete val="0"/>
        <c:axPos val="b"/>
        <c:numFmt formatCode="General" sourceLinked="1"/>
        <c:majorTickMark val="none"/>
        <c:minorTickMark val="none"/>
        <c:tickLblPos val="low"/>
        <c:spPr>
          <a:noFill/>
          <a:ln w="15875" cap="flat" cmpd="sng" algn="ctr">
            <a:solidFill>
              <a:schemeClr val="tx1">
                <a:lumMod val="15000"/>
                <a:lumOff val="85000"/>
              </a:schemeClr>
            </a:solidFill>
            <a:round/>
          </a:ln>
          <a:effectLst/>
        </c:spPr>
        <c:txPr>
          <a:bodyPr rot="0" spcFirstLastPara="1" vertOverflow="ellipsis" wrap="square" anchor="t" anchorCtr="0"/>
          <a:lstStyle/>
          <a:p>
            <a:pPr>
              <a:defRPr sz="1000" b="1" i="0" u="none" strike="noStrike" kern="1200" baseline="0">
                <a:ln>
                  <a:noFill/>
                </a:ln>
                <a:solidFill>
                  <a:sysClr val="windowText" lastClr="000000"/>
                </a:solidFill>
                <a:latin typeface="+mn-lt"/>
                <a:ea typeface="+mn-ea"/>
                <a:cs typeface="+mn-cs"/>
              </a:defRPr>
            </a:pPr>
            <a:endParaRPr lang="en-US"/>
          </a:p>
        </c:txPr>
        <c:crossAx val="2079897616"/>
        <c:crosses val="autoZero"/>
        <c:auto val="1"/>
        <c:lblAlgn val="ctr"/>
        <c:lblOffset val="100"/>
        <c:noMultiLvlLbl val="1"/>
      </c:catAx>
      <c:valAx>
        <c:axId val="2079897616"/>
        <c:scaling>
          <c:orientation val="minMax"/>
        </c:scaling>
        <c:delete val="1"/>
        <c:axPos val="l"/>
        <c:numFmt formatCode="General" sourceLinked="1"/>
        <c:majorTickMark val="none"/>
        <c:minorTickMark val="none"/>
        <c:tickLblPos val="nextTo"/>
        <c:crossAx val="2079893776"/>
        <c:crossesAt val="1"/>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alpha val="98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w="19050">
            <a:solidFill>
              <a:schemeClr val="lt1"/>
            </a:solidFill>
          </a:ln>
          <a:effectLst/>
        </c:spPr>
      </c:pivotFmt>
      <c:pivotFmt>
        <c:idx val="12"/>
        <c:spPr>
          <a:solidFill>
            <a:schemeClr val="accent1">
              <a:lumMod val="60000"/>
              <a:lumOff val="40000"/>
            </a:schemeClr>
          </a:solidFill>
          <a:ln w="19050">
            <a:solidFill>
              <a:schemeClr val="lt1"/>
            </a:solidFill>
          </a:ln>
          <a:effectLst/>
        </c:spPr>
      </c:pivotFmt>
      <c:pivotFmt>
        <c:idx val="13"/>
        <c:spPr>
          <a:solidFill>
            <a:schemeClr val="accent4">
              <a:lumMod val="75000"/>
            </a:schemeClr>
          </a:solidFill>
          <a:ln w="19050">
            <a:solidFill>
              <a:schemeClr val="lt1"/>
            </a:solidFill>
          </a:ln>
          <a:effectLst/>
        </c:spPr>
      </c:pivotFmt>
      <c:pivotFmt>
        <c:idx val="14"/>
        <c:spPr>
          <a:solidFill>
            <a:schemeClr val="tx2">
              <a:lumMod val="25000"/>
              <a:lumOff val="75000"/>
            </a:schemeClr>
          </a:solidFill>
          <a:ln w="19050">
            <a:solidFill>
              <a:schemeClr val="lt1"/>
            </a:solidFill>
          </a:ln>
          <a:effectLst/>
        </c:spPr>
      </c:pivotFmt>
    </c:pivotFmts>
    <c:plotArea>
      <c:layout/>
      <c:pieChart>
        <c:varyColors val="1"/>
        <c:ser>
          <c:idx val="0"/>
          <c:order val="0"/>
          <c:tx>
            <c:strRef>
              <c:f>'Pivot Tables'!$D$42</c:f>
              <c:strCache>
                <c:ptCount val="1"/>
                <c:pt idx="0">
                  <c:v>Total</c:v>
                </c:pt>
              </c:strCache>
            </c:strRef>
          </c:tx>
          <c:explosion val="5"/>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2B36-4CC7-A03B-029FFCD46E75}"/>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B36-4CC7-A03B-029FFCD46E75}"/>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2B36-4CC7-A03B-029FFCD46E75}"/>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2B36-4CC7-A03B-029FFCD46E7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Tables'!$C$43:$C$47</c:f>
              <c:strCache>
                <c:ptCount val="4"/>
                <c:pt idx="0">
                  <c:v>Online</c:v>
                </c:pt>
                <c:pt idx="1">
                  <c:v>Outlet</c:v>
                </c:pt>
                <c:pt idx="2">
                  <c:v>Retail</c:v>
                </c:pt>
                <c:pt idx="3">
                  <c:v>Wholesale</c:v>
                </c:pt>
              </c:strCache>
            </c:strRef>
          </c:cat>
          <c:val>
            <c:numRef>
              <c:f>'Pivot Tables'!$D$43:$D$47</c:f>
              <c:numCache>
                <c:formatCode>0%</c:formatCode>
                <c:ptCount val="4"/>
                <c:pt idx="0">
                  <c:v>0.45750000000000002</c:v>
                </c:pt>
                <c:pt idx="1">
                  <c:v>0.11749999999999999</c:v>
                </c:pt>
                <c:pt idx="2">
                  <c:v>0.35166666666666668</c:v>
                </c:pt>
                <c:pt idx="3">
                  <c:v>7.3333333333333334E-2</c:v>
                </c:pt>
              </c:numCache>
            </c:numRef>
          </c:val>
          <c:extLst>
            <c:ext xmlns:c16="http://schemas.microsoft.com/office/drawing/2014/chart" uri="{C3380CC4-5D6E-409C-BE32-E72D297353CC}">
              <c16:uniqueId val="{00000008-2B36-4CC7-A03B-029FFCD46E75}"/>
            </c:ext>
          </c:extLst>
        </c:ser>
        <c:dLbls>
          <c:showLegendKey val="0"/>
          <c:showVal val="0"/>
          <c:showCatName val="0"/>
          <c:showSerName val="0"/>
          <c:showPercent val="0"/>
          <c:showBubbleSize val="0"/>
          <c:showLeaderLines val="1"/>
        </c:dLbls>
        <c:firstSliceAng val="4"/>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 Trend Per Quarters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chemeClr val="accent1"/>
            </a:solidFill>
            <a:round/>
          </a:ln>
          <a:effectLst/>
        </c:spPr>
        <c:marker>
          <c:symbol val="none"/>
        </c:marker>
        <c:dLbl>
          <c:idx val="0"/>
          <c:layout>
            <c:manualLayout>
              <c:x val="-6.4229774416854013E-2"/>
              <c:y val="-7.03896035056089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cap="rnd">
            <a:solidFill>
              <a:schemeClr val="accent1"/>
            </a:solidFill>
            <a:round/>
          </a:ln>
          <a:effectLst/>
        </c:spPr>
        <c:marker>
          <c:symbol val="none"/>
        </c:marker>
        <c:dLbl>
          <c:idx val="0"/>
          <c:layout>
            <c:manualLayout>
              <c:x val="-7.2116157102331865E-2"/>
              <c:y val="-7.03896035056089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chemeClr val="accent1"/>
            </a:solidFill>
            <a:round/>
          </a:ln>
          <a:effectLst/>
        </c:spPr>
        <c:marker>
          <c:symbol val="none"/>
        </c:marker>
        <c:dLbl>
          <c:idx val="0"/>
          <c:layout>
            <c:manualLayout>
              <c:x val="-6.0286583074115073E-2"/>
              <c:y val="-7.9132285381788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solidFill>
              <a:schemeClr val="accent1"/>
            </a:solidFill>
            <a:round/>
          </a:ln>
          <a:effectLst/>
        </c:spPr>
        <c:marker>
          <c:symbol val="none"/>
        </c:marker>
        <c:dLbl>
          <c:idx val="0"/>
          <c:layout>
            <c:manualLayout>
              <c:x val="-6.4229774416854013E-2"/>
              <c:y val="-7.03896035056089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41275" cap="rnd">
            <a:solidFill>
              <a:schemeClr val="accent1"/>
            </a:solidFill>
            <a:round/>
          </a:ln>
          <a:effectLst/>
        </c:spPr>
        <c:marker>
          <c:symbol val="none"/>
        </c:marker>
        <c:dLbl>
          <c:idx val="0"/>
          <c:layout>
            <c:manualLayout>
              <c:x val="-7.2116157102331865E-2"/>
              <c:y val="-7.03896035056089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41275" cap="rnd">
            <a:solidFill>
              <a:schemeClr val="accent1"/>
            </a:solidFill>
            <a:round/>
          </a:ln>
          <a:effectLst/>
        </c:spPr>
        <c:marker>
          <c:symbol val="none"/>
        </c:marker>
        <c:dLbl>
          <c:idx val="0"/>
          <c:layout>
            <c:manualLayout>
              <c:x val="-6.0286583074115073E-2"/>
              <c:y val="-7.9132285381788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
      </c:pivotFmt>
      <c:pivotFmt>
        <c:idx val="10"/>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
      </c:pivotFmt>
      <c:pivotFmt>
        <c:idx val="11"/>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7.6121601190284924E-2"/>
          <c:y val="0.15339035351756986"/>
          <c:w val="0.90416244209602048"/>
          <c:h val="0.6480192834649382"/>
        </c:manualLayout>
      </c:layout>
      <c:lineChart>
        <c:grouping val="standard"/>
        <c:varyColors val="0"/>
        <c:ser>
          <c:idx val="0"/>
          <c:order val="0"/>
          <c:tx>
            <c:strRef>
              <c:f>'Pivot Tables'!$D$17</c:f>
              <c:strCache>
                <c:ptCount val="1"/>
                <c:pt idx="0">
                  <c:v>Total</c:v>
                </c:pt>
              </c:strCache>
            </c:strRef>
          </c:tx>
          <c:spPr>
            <a:ln w="50800" cap="rnd">
              <a:solidFill>
                <a:schemeClr val="accent1"/>
              </a:solidFill>
              <a:round/>
            </a:ln>
            <a:effectLst/>
          </c:spPr>
          <c:marker>
            <c:symbol val="none"/>
          </c:marker>
          <c:dPt>
            <c:idx val="0"/>
            <c:marker>
              <c:symbol val="none"/>
            </c:marker>
            <c:bubble3D val="0"/>
            <c:spPr>
              <a:ln w="50800" cap="rnd">
                <a:solidFill>
                  <a:schemeClr val="accent1"/>
                </a:solidFill>
                <a:round/>
              </a:ln>
              <a:effectLst/>
            </c:spPr>
          </c:dPt>
          <c:dPt>
            <c:idx val="1"/>
            <c:marker>
              <c:symbol val="none"/>
            </c:marker>
            <c:bubble3D val="0"/>
            <c:spPr>
              <a:ln w="50800" cap="rnd">
                <a:solidFill>
                  <a:schemeClr val="accent1"/>
                </a:solidFill>
                <a:round/>
              </a:ln>
              <a:effectLst/>
            </c:spPr>
          </c:dPt>
          <c:dPt>
            <c:idx val="2"/>
            <c:marker>
              <c:symbol val="none"/>
            </c:marker>
            <c:bubble3D val="0"/>
            <c:spPr>
              <a:ln w="50800" cap="rnd">
                <a:solidFill>
                  <a:schemeClr val="accent1"/>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Tables'!$C$18:$C$31</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Tables'!$D$18:$D$31</c:f>
              <c:numCache>
                <c:formatCode>General</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0"/>
          <c:extLst>
            <c:ext xmlns:c16="http://schemas.microsoft.com/office/drawing/2014/chart" uri="{C3380CC4-5D6E-409C-BE32-E72D297353CC}">
              <c16:uniqueId val="{0000000A-1E2A-4BB3-A056-89A47AC38222}"/>
            </c:ext>
          </c:extLst>
        </c:ser>
        <c:dLbls>
          <c:dLblPos val="t"/>
          <c:showLegendKey val="0"/>
          <c:showVal val="1"/>
          <c:showCatName val="0"/>
          <c:showSerName val="0"/>
          <c:showPercent val="0"/>
          <c:showBubbleSize val="0"/>
        </c:dLbls>
        <c:smooth val="0"/>
        <c:axId val="2093897200"/>
        <c:axId val="2093883280"/>
      </c:lineChart>
      <c:catAx>
        <c:axId val="20938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93883280"/>
        <c:crosses val="autoZero"/>
        <c:auto val="1"/>
        <c:lblAlgn val="ctr"/>
        <c:lblOffset val="100"/>
        <c:noMultiLvlLbl val="0"/>
      </c:catAx>
      <c:valAx>
        <c:axId val="209388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9389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Tables!PivotTable12</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Profit</a:t>
            </a:r>
            <a:r>
              <a:rPr lang="en-US" sz="2000" b="1" baseline="0">
                <a:solidFill>
                  <a:schemeClr val="tx1"/>
                </a:solidFill>
              </a:rPr>
              <a:t> Per Payment Method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Tables'!$C$80</c:f>
              <c:strCache>
                <c:ptCount val="1"/>
                <c:pt idx="0">
                  <c:v>Total</c:v>
                </c:pt>
              </c:strCache>
            </c:strRef>
          </c:tx>
          <c:spPr>
            <a:solidFill>
              <a:schemeClr val="accent1"/>
            </a:solidFill>
            <a:ln>
              <a:noFill/>
            </a:ln>
            <a:effectLst/>
          </c:spPr>
          <c:invertIfNegative val="0"/>
          <c:cat>
            <c:strRef>
              <c:f>'Pivot Tables'!$B$81:$B$89</c:f>
              <c:strCache>
                <c:ptCount val="8"/>
                <c:pt idx="0">
                  <c:v>Apple Pay</c:v>
                </c:pt>
                <c:pt idx="1">
                  <c:v>Cash</c:v>
                </c:pt>
                <c:pt idx="2">
                  <c:v>Credit Card</c:v>
                </c:pt>
                <c:pt idx="3">
                  <c:v>Debit Card</c:v>
                </c:pt>
                <c:pt idx="4">
                  <c:v>Google Pay</c:v>
                </c:pt>
                <c:pt idx="5">
                  <c:v>NetBanking</c:v>
                </c:pt>
                <c:pt idx="6">
                  <c:v>PayPal</c:v>
                </c:pt>
                <c:pt idx="7">
                  <c:v>UPI</c:v>
                </c:pt>
              </c:strCache>
            </c:strRef>
          </c:cat>
          <c:val>
            <c:numRef>
              <c:f>'Pivot Tables'!$C$81:$C$89</c:f>
              <c:numCache>
                <c:formatCode>General</c:formatCode>
                <c:ptCount val="8"/>
                <c:pt idx="0">
                  <c:v>11563.559999999994</c:v>
                </c:pt>
                <c:pt idx="1">
                  <c:v>9972.86</c:v>
                </c:pt>
                <c:pt idx="2">
                  <c:v>9167.84</c:v>
                </c:pt>
                <c:pt idx="3">
                  <c:v>11414.34</c:v>
                </c:pt>
                <c:pt idx="4">
                  <c:v>8391.8999999999978</c:v>
                </c:pt>
                <c:pt idx="5">
                  <c:v>11583.89</c:v>
                </c:pt>
                <c:pt idx="6">
                  <c:v>12504.73</c:v>
                </c:pt>
                <c:pt idx="7">
                  <c:v>10470.729999999998</c:v>
                </c:pt>
              </c:numCache>
            </c:numRef>
          </c:val>
          <c:extLst>
            <c:ext xmlns:c16="http://schemas.microsoft.com/office/drawing/2014/chart" uri="{C3380CC4-5D6E-409C-BE32-E72D297353CC}">
              <c16:uniqueId val="{00000000-03E4-451E-A8C9-2E6A2CA1910D}"/>
            </c:ext>
          </c:extLst>
        </c:ser>
        <c:dLbls>
          <c:showLegendKey val="0"/>
          <c:showVal val="0"/>
          <c:showCatName val="0"/>
          <c:showSerName val="0"/>
          <c:showPercent val="0"/>
          <c:showBubbleSize val="0"/>
        </c:dLbls>
        <c:gapWidth val="182"/>
        <c:axId val="1541991055"/>
        <c:axId val="1541989615"/>
      </c:barChart>
      <c:catAx>
        <c:axId val="154199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41989615"/>
        <c:crosses val="autoZero"/>
        <c:auto val="1"/>
        <c:lblAlgn val="ctr"/>
        <c:lblOffset val="100"/>
        <c:noMultiLvlLbl val="0"/>
      </c:catAx>
      <c:valAx>
        <c:axId val="1541989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4199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Tables!PivotTable13</c:name>
    <c:fmtId val="7"/>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US" sz="2000" b="1">
                <a:solidFill>
                  <a:schemeClr val="tx1"/>
                </a:solidFill>
              </a:rPr>
              <a:t>Region Sales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90000"/>
              <a:lumOff val="10000"/>
            </a:schemeClr>
          </a:solidFill>
          <a:ln w="19050">
            <a:solidFill>
              <a:schemeClr val="lt1"/>
            </a:solidFill>
          </a:ln>
          <a:effectLst/>
        </c:spPr>
      </c:pivotFmt>
      <c:pivotFmt>
        <c:idx val="9"/>
        <c:spPr>
          <a:solidFill>
            <a:schemeClr val="tx2">
              <a:lumMod val="75000"/>
              <a:lumOff val="25000"/>
            </a:schemeClr>
          </a:solidFill>
          <a:ln w="19050">
            <a:solidFill>
              <a:schemeClr val="lt1"/>
            </a:solidFill>
          </a:ln>
          <a:effectLst/>
        </c:spPr>
      </c:pivotFmt>
      <c:pivotFmt>
        <c:idx val="10"/>
        <c:spPr>
          <a:solidFill>
            <a:schemeClr val="tx2">
              <a:lumMod val="25000"/>
              <a:lumOff val="75000"/>
            </a:schemeClr>
          </a:solidFill>
          <a:ln w="19050">
            <a:solidFill>
              <a:schemeClr val="lt1"/>
            </a:solidFill>
          </a:ln>
          <a:effectLst/>
        </c:spPr>
      </c:pivotFmt>
      <c:pivotFmt>
        <c:idx val="11"/>
        <c:spPr>
          <a:solidFill>
            <a:schemeClr val="tx2">
              <a:lumMod val="50000"/>
              <a:lumOff val="50000"/>
            </a:schemeClr>
          </a:solidFill>
          <a:ln w="19050">
            <a:solidFill>
              <a:schemeClr val="lt1"/>
            </a:solidFill>
          </a:ln>
          <a:effectLst/>
        </c:spPr>
      </c:pivotFmt>
      <c:pivotFmt>
        <c:idx val="12"/>
        <c:spPr>
          <a:solidFill>
            <a:schemeClr val="tx2">
              <a:lumMod val="50000"/>
              <a:lumOff val="50000"/>
            </a:schemeClr>
          </a:solidFill>
          <a:ln w="19050">
            <a:solidFill>
              <a:schemeClr val="lt1"/>
            </a:solidFill>
          </a:ln>
          <a:effectLst/>
        </c:spPr>
      </c:pivotFmt>
    </c:pivotFmts>
    <c:plotArea>
      <c:layout/>
      <c:doughnutChart>
        <c:varyColors val="1"/>
        <c:ser>
          <c:idx val="0"/>
          <c:order val="0"/>
          <c:tx>
            <c:strRef>
              <c:f>'Pivot Tables'!$D$104</c:f>
              <c:strCache>
                <c:ptCount val="1"/>
                <c:pt idx="0">
                  <c:v>Total</c:v>
                </c:pt>
              </c:strCache>
            </c:strRef>
          </c:tx>
          <c:explosion val="3"/>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6839-40FF-AAF2-FB4BEAB04B67}"/>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6839-40FF-AAF2-FB4BEAB04B67}"/>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6839-40FF-AAF2-FB4BEAB04B67}"/>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6839-40FF-AAF2-FB4BEAB04B67}"/>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6839-40FF-AAF2-FB4BEAB04B6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Tables'!$C$105:$C$110</c:f>
              <c:strCache>
                <c:ptCount val="5"/>
                <c:pt idx="0">
                  <c:v>Egypt</c:v>
                </c:pt>
                <c:pt idx="1">
                  <c:v>Iraq</c:v>
                </c:pt>
                <c:pt idx="2">
                  <c:v>Lebanon</c:v>
                </c:pt>
                <c:pt idx="3">
                  <c:v>Oman</c:v>
                </c:pt>
                <c:pt idx="4">
                  <c:v>Saudi arabia</c:v>
                </c:pt>
              </c:strCache>
            </c:strRef>
          </c:cat>
          <c:val>
            <c:numRef>
              <c:f>'Pivot Tables'!$D$105:$D$110</c:f>
              <c:numCache>
                <c:formatCode>General</c:formatCode>
                <c:ptCount val="5"/>
                <c:pt idx="0">
                  <c:v>25519.30999999999</c:v>
                </c:pt>
                <c:pt idx="1">
                  <c:v>24051.610000000015</c:v>
                </c:pt>
                <c:pt idx="2">
                  <c:v>5248.5199999999995</c:v>
                </c:pt>
                <c:pt idx="3">
                  <c:v>20403.559999999994</c:v>
                </c:pt>
                <c:pt idx="4">
                  <c:v>9846.8499999999985</c:v>
                </c:pt>
              </c:numCache>
            </c:numRef>
          </c:val>
          <c:extLst>
            <c:ext xmlns:c16="http://schemas.microsoft.com/office/drawing/2014/chart" uri="{C3380CC4-5D6E-409C-BE32-E72D297353CC}">
              <c16:uniqueId val="{0000000A-6839-40FF-AAF2-FB4BEAB04B67}"/>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_xlchart.v5.6</cx:f>
        <cx:nf>_xlchart.v5.5</cx:nf>
      </cx:numDim>
    </cx:data>
  </cx:chartData>
  <cx:chart>
    <cx:title pos="t" align="ctr" overlay="0">
      <cx:tx>
        <cx:txData>
          <cx:v>Profit Region</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Profit Region</a:t>
          </a:r>
        </a:p>
      </cx:txPr>
    </cx:title>
    <cx:plotArea>
      <cx:plotAreaRegion>
        <cx:series layoutId="regionMap" uniqueId="{DE2DC8C1-9B98-4948-BEBB-A6347A0EECB7}">
          <cx:tx>
            <cx:txData>
              <cx:f>_xlchart.v5.5</cx:f>
              <cx:v>Sum of Profit</cx:v>
            </cx:txData>
          </cx:tx>
          <cx:dataId val="0"/>
          <cx:layoutPr>
            <cx:regionLabelLayout val="bestFitOnly"/>
            <cx:geography viewedRegionType="dataOnly" cultureLanguage="en-US" cultureRegion="EG" attribution="Powered by Bing">
              <cx:geoCache provider="{E9337A44-BEBE-4D9F-B70C-5C5E7DAFC167}">
                <cx:binary>7Hvbktw4kuWvlNXzsgoXAiDbusdsQDIiMvKeSilVeqGlUhJAgiRA8Aby68dT6mqTQlrl1M6Y9cvq
oWQVEaQDDvfjx49Df38Kf3tqPj76X0LbdMPfnsI/ftXj6P72++/Dk/7YPg6/tdWTt4P9NP72ZNvf
7adP1dPH3z/4x6Xq1O8E4fj3J/3ox4/h1//4O7xNfbQX9ulxrGx3O330693HYWrG4Sff/fCrX57s
1I3Pjyt40z9+vfj4/rGz3a+/fOzGalzvV/fxH79+85tff/n99E3fWf2lgYWN0wd4ltLfUkIIRjz9
9ZfGdurPz9lvScooYwSnX/78afPqsYXn/hsL+byMxw8f/Mdh+OWff3/14Der/urzarDZl01n9nmF
F/Lzln7/1qn/8feTD2CTJ5985fdTj7z01anbC7W68U8H/M+dTvhvDBHCEUH/cu5Xvifpb4mIMUqJ
QJ//kD9Nf/H9i6v5sef/+diJ3//56anXi/2/3+uvHqcP1S//6R/fV49/euB/wfnxb5hwItKEfvEu
/ibw4/g3Fic4jZPky9kkf5r+4vz/7qJ+fAbfPn1yFN9+eXoir/7z338iZ/6x/9Md//OTAOxBKWMJ
Ruz0CLCIU8Ep+9cJfcG7L0fw0ip+7PovT524/MuHp64+u/33u/q6ffxfhHmCf3t2JUk4/pdLv0Ic
JuBrypMkgWT42tUvreLHrv7y1Imrv3x46urry3+/q7/k3eP/x5nP9fZ/B2f+77X4X2wkfxwfi880
5qty/PNvP4cbUKuTR3/Ghr5E89mHf/zKxedQ+8Ijnt/wTaR/U1T//PnHx2EEjsSBCxGAqYRgRilB
9Ndflo/P35D4N56yWCQxTSkFHAMg66wfNTyEf+MCA7rRBEG9AS716y+DnZ6/gmRM0xjTRGDBGaaw
sD83dmObVdnuX1745///0k3tja26cfjHr1CP3JdfPa9SkBjeweMkjgVOKGECdumeHu+AlsKP8f9J
otViH3OVLUksk0APrW2Ortey7p2Mm2HXV/dfOeYHFuMfWUwpxmCVwvIBM7626FqdaL8JlRmRnFNk
921ZZT83gdH3NoADCfAbS2IETvrWxtpg1/iuVFnpn/Rw3ZRUau7OHXdSqSiP0VVLbNaun/6q3YSm
zwUJcTAu4gRY8dd7q6Zp1QaB3W6kuSntPvL4yqrknNOCUVWE2t2Shu0T/u7nlp+P6ZtjTGLOMRU0
5gJcSk4Mj0lk1boSk9nYljLMvpNUuKKZ53tL6ZILXLIXnPxd5IDJNEkIuJjghMQn51jNLGnVBCYH
t74fQpiPok5GqafoZkbitU/j9G5oa/OFoH/Jqx+Ezw/MpmAzTRPGYozJiVkU5l7YqtaZ3VSN5YLJ
e1NOQ1EGc7aYJafpMV5E9PRz/34XtEkMVtOYxgy433cH2+Mk6s2q6qyJ4oFmEx6bh7VJ2rD7uR3+
/TlCAAHB5BQzOMqTdOSq4X7ouzorh0b2Fu8CMdKi7nxZ1QuOBHA5CRmGMGUciYRxwKWTkOFqpoL1
pM46McpquwoEEn57wcj3fns2kqKYAl/GPD3Zj9uaxuIoqrPKV7tqFGU2LGEufu60H+6EcUIoT1PK
Tp3Whrb200zrzGtb7qI5OBk290hrpPO/bimOE0DzWDzz/JPtqDqtCeQ4hIFGGWBnNtomg+R7YUM/
8lrMGJSLmEAcPIP/1zAibJ3ExNk6U0TfC+Zf9Y17wQT+oQ3IImje4WjoqdOiBU8OBTiZecA+MyUl
N03Z28Ps7asNtbnqltTkK57mnEapOfh09RnpJnRH/IxJFkY2FqFc7QsL+8FhEh5DwBCRUMrRSX63
EaZqUEmdbaySRGk5RI2MvX8hMPFzeH+LmAyqTwK1L01Snp6WoRE5PA7VaDIalvc+FWGnxvoepQ3L
kWFRQZD9mArL/2Ct6qW2vPKS9NNwrBgyF73qq0NcB3bWxy6bxEQ/jRP1cmmozjc0oQ8/D7zv8Z1R
QhMCagtFKaTrtxHBhYqbNBbglfVVEz6I8qrJyO1KX//czOfCeOoVEjPMYywSDvn0rR2cbnNqAjUZ
m/lxcvOyW/o2XCW2rKOs88PcZ37AQsiVhIVLGvxhMmQqfKTUfo2M5QVq+hdA8XvIB94kUvzMiBIi
TiG/dQNB6zRAcYtUlvhV3YR0fjTjYWJnY7tEh67H0QvV7QdhSGmaQgwiIGDpd+gYtR3APTZZH4vC
LkkjddUdSzsef+7xH6Qh1BRAkwS2xr9DlFC5YUOoN5nZOqHk2JbLrrVJeffXzHAgQfB+8lw5QRo6
JUQ1jgieWogft6roOtW0zKeFDC9s5rR6nVp53uxXZHIztqRtp2Eztie5pkpkjd34OZlpXzStn14I
jNNDOrX3/P1X9jRKKzXPsCvmL2N8vvVv8EuO+6EJCjknGDBuHp8kBLdo8mMKJtLmgnebbJNK2rh9
CY2eUe3rvIOdxDHikHZpTBjUl293QoyZTN0hyDumlouBRnzflC78MQs9XyHkh8dhGNCu2noZ2nAz
YADHzU7b8MJCTnHm8zqgyRfP6Ua/225oVtwNyWoyNej93DEvk3IC+EOsGAmaizq1L8TM55r53daB
iAAYpyBpntbUhC0g5HSzyWIxhX3s2vK2nUInS04buVVz/aocUpavpozzns45pxHZBaNvDFYuQ/XV
1vUHKm4x5v392JdXP8+cHwRAHPMEygS0SCx9Fpu+jjG2xdCfxAssr1yGpyihZmfTAUphWQb+gvdf
svWcX1/Fc59Qy0gN6Lv2VbYi+oGv6S5U9oUtnZa+z4f81ZZOWAzi7aKXDZj7otLkQnXuaKoyW3h8
vabV3Uo0kaOdHoW3Tf5zZ56i3WfLn7tX4GrA3U8sb5UZWUQ9hDmPJhk8N+eeJC9hKv4um6B6kRSm
Klw8b1Oc+BFqMBpVRYDWtDrIqm0PK7R9klmUMcd3vlav7aIOadkd50nvm1S/AEzfNaBA3UGgB4k+
FakQSXKChCpqfdiS2GdBqQ9ijK8a2rxCFlVyavU19uM9mkg+VFQSX5793MnfRdGJ7ZOIHe2cIjPM
PvP0aZkbSaJKhiR5IVYxOYWsEzMnTsZusf0CrXzWL2shxHQQUfU4gswhOXFH3qrCzOtZ30xnVESx
nLtO53iY9z/f7HeA9bwKkeCEkTih7LTBMKIfUDXAUY+mvun1fKyiqIhw/Yo2ZVHa9i8DJNh7xoEE
WBgC5eTEuYkoV0MD85nmRgJk7EPocg4xxdkuzPb/xcmCENhdCvoRNFLfIoKO5nkYFJxlv6QH7aqj
ZvPtkFbHLu5vcZ1eOu6dxJu4cFVJpFsTIlf/EkafErDnaBYxaLxECBHDvO/bVZhKLNMy4j7bdBdP
9+NAAKO2aBDXkelj/6aj0+JeNTG1/S40s2N3Pz/k72ADGuEE9C4Q0KAPj8UJ++2GEG3jCNzTbMsF
eFnJmeu/qKA8N9tQgBgTIGiAJHeyR1tXrSUB+cyF5g/Gpkw5fZOM6R1H9u1Yri/wyx9u6Stzz9n1
FdQvRtNNq9pndVRNcjP9MczTq5+77TkDv6msJ1s6cVtIYg1iw+afKyuTfPH50oliLiEbARNe2BCG
Un1qDxpjCuQFpC8KqttpbpQsSnTT6kh63qMsDCvBOZtw5D9NG18biZsoifKBR6Ys0rG0ryy0nkyO
fGJUuq106yaboWY8S5LaXSeqnPSDVglrrqoad+Lo1rmurRxXtr0imwhXzYKjt2uHxDnd0GbeDUNf
6pyPsb1eLDQtsnKl1XKt6xrMD8l0ML73N4lYW/exSypyXaLZm9cp3hQG2Ji2iyWkd6Kuk2IQkXgt
EtTeLkQvyUVFhiU5rEsa/YFTGFTsh2Wwtx5ZmmE88FLybQ5v0EJmoCRbsl7HqG3PAoypCtST8lMF
hfWtapS7JBaLq1owJyMzukNszCfGhi0+G0xIF+lmjNdM6U31ebBcZ6OPkSnWRim+Xwl0olkHfL7f
lx2FRsyn5rExid9VKSbHDhTfpZgZ0iB+Dnp+i1xKRjmU3UVJuEokS9zmj/NY0Rsz1ruGjPp8YWV5
7LGZd42JB2hzPX9Akdn8ga0YXSDcxbdpaGm+1tsrbux41YPafLZseiC58clumPSu7OuuPMNDKrKS
WF0sS6fHQ2RLu7wfWLO22TjZZTdP8Zi3tBLXfh7JzVgaNxUta+lughPN8Rpt0ytVduQ1G8OwgCRV
OZaHhKXt2Zx02zk2DknTkxYc1xajjaZKRr4Pkg5I3yztelziesy2bpJ9gvp964x4y20zfPJopMU6
+0s8KJIJt+Uarf1NG1wrITIbGZrwKeEtMHxtWiOR7qJS9u3esfVI0BLJrYn5B9euus54p6SptyaP
qoUXYhNuyEis6FXfEnODRYRu4bzG61BVCF+m/faeoW2TCA5NyUo14Oe441YaYNQ07T7ROazAZpMb
+6wr2WjMVK1budiYZF2P4gczbO8FrfgfdUO7Czwsrii75wVWxp3NlruzyooNZ1xFZ8SRT47GnmVm
0b1sTVU4FeQkUhk15nUdVCO5s2fJHK2g2MZ3pf6YrkPSSaTW6G1g9nq1cMYATFj2K73fqLfZsq3u
KFw7Z/Cj6NCKdTn654IfbWVy7uCnrHQTua7SYYXuxK7ZNmlbdAHhXY3naw6VLhv4ig9LCxJCs5w3
oS+2Bt03tJ8HCVmnMqaeZa95lj0N1btuAPIysHbKQtk/UeTroq8ad5livB2BOpnrBjLswxImtGWU
6/hY+ndbU5+DMIeXLB07lb4VYZVL2V434/a6ZW9dWSwTXl5bCI/uliQ62CJZpm7XNdV00ENKOkjM
zrxaIhiaSIR78mpCn+KNNDlKppzrNE8a/cdGyKOKIMwCRl6KaEA5HP14b6DXPx/qoXk9lHGV477m
BWjk2hxHgLZ+rrScon43RZw8DVXEd1U/pGetAlQoVGglMvjSu7hQzShXvTRSpeyjmKvzoWHHTqvd
srpiGwdIIBMXOuGhLeaGjUoiss0ZxbbNktG+UXPjck4wkXgdJV5qX1Tt0EInm8Dzy7aPtT7EyVB0
W3qm21jGKH3HJrJb6yYfoUA0W7Wb4y6b6+khCJOjugJzdd7gZvwwtQqu4qzoMGBejLEreJgObjrU
NEjMrFzQIoe5zKEQyNnaZTzMjtOHfsEh77rhLeBYnvIGzUe0qiM0ux66zO0TT8YsrpyTrhFvRhfm
q5oDLCjOatlvJrgdBi3vPUbLAiSAXEcQF8fYx9slMpT3u6qmC5HJBo3TrKbhaaj7p0Sx2w01zSGp
uWrlWLb9tYvHspijGvuCd8krquCkBxbr63raIiuTZdt2ky/7u2DGDc6bukbalaAbgpsmi9fYvN82
UZ7Na/khGXAtWzXzN6hTzWGj+jLuyotRR286Fr+t7Zy5pF6lSpIbTrtQiIEe1Lr1N8zM/V0fCSrT
NAC8dtFSZaoPPcSTmlJ8xnrs26NfQ3zbpqBD4lB6LXXax3IVUB+2pnwYO0uyMpnqpmi7fgnHEhqb
fTqrfRkgvcstmj7FrZtQUa/Vqu+7sVtvKDJhH0VtdKF4U/L9NrTifOyMjvI12ZKsGtr4sonJEVJO
XSSJjXLvVeYG0Lt1HeQyJq3cMH4apvCA5sDdEQYKcTHNS/mUijX0sgxo22+M3TS0ddCxtyZfjLuq
qF33QGvzKIQc+oU8MesxiZlsvCvGrstI1cbZvOpsckM4VIKgUaa+ZKAyTonNOHCPh7rpbHxETefj
u0FR+tHjHiiOW6YCOGyBPL+kSF+CRLIfyqHYxJJtSpb9VTVfVQMohy7lWd1oe9Y0sR+yBXQXImve
3/nVT8dG+4VJRKsW8iap3yZKr81x0GHFMma9kroNtfRrGhpIaEhRVvbEn3l2Vivq36TBsCMTiMoJ
daTPkq5r0vOg2Jb1oFBICGZUZ+OAjOxWUHJAjuVS6+2gF7XdJ/NkYYOuH19vfplBc/JgLRsS3hWp
EtuhVJPIgfo8KUS7p8Fu85BZ7N4CUj2C1u1ARRzjIU9Dut4qEi2Hjbf9VRPNtciHEoUqG8qVXkW0
aa3EKqweIMYsTe5XQ2SoE+vkiksDbWNkL4NYUW4ZrV9HxttFtnMdDk06icyCkGBkQMxXB9KLaci8
StVVvfXJu967ZR9StqVQUlhQORmSZYBxXYenfK7SnmUNsw9pF7K65m8H4XhOm0gskszhYiTRGXP9
q5Bg+64SbNw38dbvHI+wAO8tSzFWy3LV8na90Z1oZYXSB1qP/aUT0SF0dtF50KzdC2dIBr9S1zhY
W2UCkDqiUS3xXLabJHZzO9S1rwdWw7SjXxzK1z6tL8e2srJWSr1VxAJBKasEMLTtD27sdC0J2/6I
1/WqC0NSH7iiB524LKKqamCIPtubcUnGi9KE+qldaZejLl0SkIzCbRmXezHbc8zG/s5qVeUrNOv5
qGNzaCetL7pkORs1ohikRlVsW/uHr6ezpWu8Lnpz25bJfee64TotxUMbVUqqju425gZQBgODgTeI
k1Fs5vat2sAr580wm72D+pABppVXg4nFId7m67TVrxLDbN6uE/DD2cxIuo63dxTPcyUN5JK0QIEj
mTbxXd2TRkY8Qsd4tf48IXp426zhTjX4lpbhIVrpfhHNqA5NA5DTjAWjna3gjYo/mmWjc1F6Sltp
EK5vaAXFZizP/BbPN9Voh1LWLCpTaZLOv1901z+MZeLvHBDf637oxmwZNnc/be58jebW53Zxd1WV
zjkZxz01o8itdebTptF+Kn1465xoGykqEGv7Jn6jWR1yuFP5KKbqY9tu4UKToFyRVqw8ejFdVjVZ
9jjAJmxH0E6b6g2l1ubeTG2+hMjIcm6UnJbmXDHLrlVTkz1jZpLxDHR8WKsrhdDF6EmRbhgKmxiW
V/2m+7yuQjAyciKvbfXIvc747MQnLziIBaNT1+2UHHllCpfwHTSnGYdZdjzZaD/WwAeantqLBdPu
MNt03vFEDweOkw7qcOLzNBK1kgvAQB657TkfM6v5zRpSORvSX4qGNzAxMn0tWWjHfWqgv11cA4Wb
wOh3PqdstjoLvtzzwEnW4PFTqC0Ivmj1/SBtQO3e0HFVmYCm5GlSopQLW0gW93p550tgQqxS7zkJ
s5xKpYA4D3dpat91/aqLGamtvei9XyRgyDpCAmhz5ic8XfYOSBbcoQ7Xqe9UnjAX7K5OeZB8QrPJ
K4MUzOFAL5RpqefCYb7rY5g2xRXgqQje91nYyu4ToTo688GlxVz3dQxlU+ixqCmgapt6EKb6yhbE
tAhGwmNd4Gp4360w8BzL6sGk5SzrBRjVWvUA4kbPbtf4KT4QoUwOg4xqltaEN12cGhnb6EoF88mS
yd/WfOyaHV3S5rqqoEweRoBRnVXTAjwUjyDD5HzprcohcbrHbUnT/ghdc6nO54247iJ0ZN0sEHva
tQfDqvQuLZ+vaECLqUI+4WRusqocW3NIl8mHjIq+64VMoWaOl6YdBUzDypCOeeoMrG3FqeF3HtQb
uoOJy4zzakXpWQi0IUfn4hXdxJh3ZRbpblgOc9wmTPp6jHItOC6mZqXrQ+VjEmeKLbCAOkoHCfMb
Jd2YCGnGLm2l4oiWD8S2c7VHsV76Pda49pJOwj32vPRK1sZ0QI8Yal6vwyyaYgnr+hr0fUP3vVvT
j4qYecznWLiLuab6RgzN+CrlavpjIqzsCrWtOly4el6O8EscvVtUotp9rX3yRrfbvGarbQJ9X1Uu
vYG2wwIqu5rSayAkYnmjJ9IVpapSIssqWpM3c6S68lq7eUikckFUF/U0cHVl6YpYDvDkAJJaJ6Ek
jRfOanwIfrlbOrudRV3PYC/+ox9NyDSD+1XStdBoSZh9e3psTdenD7abp+kc5OimyyJH070xLN1X
wMfGQ9iqMQeBp5PEMWUKKN4lh2hMr9Z4XC5hBv+44Pq8i/CYl11PBokjuM8vAdnM0+KVf13hRV84
vzbQcuEOYHCKNejYYxxeVzNly7x35X2Uvqoqf6y4hUa8BlTZMsfLDCrJDgqfm/WV1XChK/5Yqf6V
r3e0PPKEkAtozdURqumcqxi6WLTH6JYZaIuDQk0oWk9Fe9BbzlimqgUatmjAeamJhxI8oXwgVXJR
rlvS77oRF3NCty4HR181VXlOK1Y4tJ5T/xCLd+uWZpvH1a6kq71SlafNrfeEl4e6zZYp2zaIu6tR
M3vrOpaL7QYM2rcLwW63zPU7UwPdVxuGVutyKx98kkfcZXE4X4epzHXNQKGrfb/TdfweBI8oW+Y1
rmTnuws3VBe6R+PlCF0dT6SLwEt8GSeJS19lURgXaSq0n8OGPg4wNZhkxbZSZJQm/r6BXoAZSLwV
BlKzP0cipXeU4P7NQvrX7jyh3F+IyTZQLR283ddZDf12NMYXhI6uQRlc18tViwpD8BXva9UBnPM0
2rly0XjXIFNeV5yvklSTzqFjr+UEZE9H7wnXkndhlHzcMgQg222TrDuXraaTI8bFMncc0L1xWTVX
GVqAHYKHBG2wdDCiPGPp1jdF5XkbwVitSgHgVNX7rOP6dkUtjXaxt3q8bFl01IS8S7c1PAnVmNyS
yBmpFproDAISmhvR8cfORCC6dBZEGQ96fHeRmGr0uyg0uiCQc/mcEguXlZp1uFKmL0HQoSVc+NEI
FgzErSmmXsT34xrOzaR0IkXn/ggGnQlfLkDh4ikshVUQ8VfRilfZT/q+h0tmrlhE/HGI6b4Vw8PY
Qxd2aNtRC5CsNM8FjCuvcNdR2UFtLgzkyT1wUnU3pm7HGh6rotQlOyMYJKhtQfQ6WYfB75pI9Ymk
fTuH+5jbWIL01WcVTsolH8RQIDXeB945/n7CqLyoTSJAAalYRqEyZ2RjhMayHQDvup0WXRmdTSy6
NGbAO6v9cbHz1ezXZ+UtPU6Rc1cTiovOIpyvUzKYnI3b7FQ+RQwruOO1UD1B4DBzISjdxnxUEYTU
1rFL1/sJxg2ze8TlUodsBaZ9FF1LQE8wcOMOxIQQZXpuwvXcGUDFpNqgDxP2U9Popr7tkg29SkuY
C2V42IZKoiZ6sKbWFyESqLs2HVqB5Y2hPJuS3pNSejL1kRSln7bjzAZ0QeGKVVKUpR06YAsaoqxR
W25mILg7A+qFlelmuntt0uVs01w/WE3r7mLQxEZZYpqeFIoTs1yv5azq/UZWsR6xU/dAn9aoSKNl
G2UcQvwJmbVdisFAfzhHpM4nEEzP0o6MT2XMl/sBiv6HBnkT7eckam+3RoxATOcS58aZHrqHIQ7P
UNPCxdUNrqxo1exTtqons4zoPMW1OpTbLMasNKOlXDZw4ebs+WZ7sSYYxg+7ehCh73agXbuW3blR
6DIAadpSqHfSTg660T+WisbQeUVxGBx0UIMAjJdoUnDZCO90ucErYG5romjab7yEqbZ2DoQB1lX6
BjhU/Bo08Rs6bN3BtJSer2hg16GFxghPNMqhhi71UY1Nc1/PEFmgS2A7ZC2akxj6s7ZmBelXUOEP
oUFuKY00nmx99LgscEknQnHZtHIOC2uMBARYD39tqgDh9/niFGcohutZ4mQkhUm8aW0Xnw2jzyuQ
v1bAcJ7el+GFqc/p1OnZEAz1OOYEJXDp8mTASEI/pvEM4wuYKoyZqInLWlw/GM0foGldchhGjXBP
KbYvTDJORzOf7TK4sw2XrBFF7HldX41mNFzKVlEDt93mtm32yCtz1a7WvXDv4XRw+WyFwYUfDrel
GPznxI1qjEatG3CjjnlGO5yplvS7TSS7ruXz2Tij7oVh4ulc+LPF59mlgH8eA3eOTiZco55XaheY
JXbtdbSep0Oc8f+i7jy240a2bftFqAEXMJ3bAJCZTFK0ImXYiaESRdiA91//JqRjxKSOeHRf570a
1ZBKKkYiEGbvtefamYg3BjmtOW2DUBj1BfSzC1x4MnlEliXg3oYKpkdkZ7KunT9agcud9ufL0Kcs
Sl3UFpbln1TY68K0lbmBGDYacqzJQ1bm7VU+lM1dKrM3Suq/eCoBsEAN1DBAL0+xuGzWbNMregYb
yQ4JPYizu6oN2b1vzN8rdoEJFNSVbQcY3wYeOJlA3c2WGMSc1ffJvy7l3mkfpNrVXA5li16e7j1x
dIy31vwvHpBDjkcEdYLMP33AtPXjWJfkRUWXlFHSNfrHWZpTWOZFFckq096Y0F/sMbhLDAeOIKkA
/TnZY4i0bbGwTPw8zpBr9S4YbGP3+yXy60EcB3KbM0ToGwfz00YWOvHClLLFXAMpom9yEVmJvbzx
xn4xdb7ugnrACjobOfVylIEKazdZTF3pXavxrpye7OSuLT78/lm+b5yfi7msC4bhFMQR4uPXOAEP
dEeqvM7mJjQLSmVZ/qFLpy/cfnA7xbmVZTdAPXtLL6qgGGTgtt5ZnjnvTHcIkZ4ezJJp1jp7Cf3K
v3Gn7s93IxsRLpXyuQtqeHK2JL3qmoGoAf3JUGd1iWQ/LnV5bKF0QgvO6Oz307G9upezYesmQKjL
YoVhFienpzG5VmXW7BKvyw5+vISF511lrU8uupxNS79fkvbvPi8+/X7Y19TwZpfxHSF0Tm6frO7l
y3bMtR+lT5mqjrLjOoQFef6zPE/P0uB6Dr5hoQkG52sbnNeh/8aWeb3ObEhtj8zMNjhtxMnQKZFH
k7sth06tDtxa0dwnoeicO9l7b2ycXw5lCwwWnAg+toeXTzmXTW6Om0qikKRzKlKwLgbmTueNO3Db
5S/fIpcRVCqXrC8MVs7LcUpKbX5Xc4ZbTRZRIo76oaa2ve6mNomW3tii8zd26yvC2SVosezvvBDe
UQ6hl2N6k2O1mktUMRi2FSyzcegTI9/SL8r0+kNn5J+7qjuLqak0OrlyjmJo9XdZRh3194vp1dPb
Dkf8ZgjDfOG8usFGzeiWfCNORMrTWrfVpIeUKQOrJUUszsq3DDuv9sw2Hp5YFwuLSwh3smcENTa9
rUwqFrvipr9YgyaCNPzYH37/WK8CG4bZTvaNrfct3z05CkoH8cIhZwmR4ssAi4kbAk3d1UK7JwBO
Q88co/+7Ec2Xr9QvLU+ZFBBDp3hqCxwNhUbthgKI1u8z9eYNvc3TT6sWDt/ecCRwYIJT7paTFQQm
1fSxx+1fV8O54cgrq1NRTX6MNFPFZ+bq7+Na2ye1/WPB/MPsePNjjB/mva9VvbRpnPyj58O/fvs/
95Xi3+/NCv79H7eWEf/+3eFbtTmdu9O/tI3zr7/FMP8Yd/MyvvjNK1flP+2FJ77JH00p/sMf/nem
yu/2rX91nHjlqvzZqr3ZFb//9R+uStv7i3NDGJg3th3tbxHED1el5f2FCIOFxMAaaXguF+U/TZXu
X1yejsPC/PGH7JB/mir9vzgyicfxY0KNsj/+xFQJ6flyjbAoHHpfQENBuXJRnRoB3X5guxHCR02i
pWvYtp1zFpcCVmgFnElkWpzJCq45it2G2l+N6JicCRxtyYPrT+Mc6JSvklvXaFR+r2Ph6aOK2kh9
INCxTOjsqqY+2XV9faV63c/2LnaF+KBP3Rzv/SZNnPOkFMo9d9bOSpwg71qreRwaZS93sqrrIRRa
5hfnBM2a/cFeig6/WenFvQ2OpQzvkBSJ8VmflcR1kQNX7PtW0x2g7KmQl0M82NOu9c2pieIWOTao
h0LXgyHvshuv7Yo0aFNcbIgKhVbs4rodloeEEnRBUXhdnUD3FREZsmYf73xrks+Z42ARgEgfqsNI
qcChAjzmdXMpBtfObxtIAPvBlPagdkvT9L0TOFVaaXqEw3WazkUskwUhGE9mmJnlJqINy2hH00A9
4OAvi3GfUl2UwZZPp9GG219pa1k2OznkQxJYiPeId2myXHfF8lBQF3OCNi+zLx4IwrWRZeMSlUNu
lUjhrTWFnqtVTxDhGvU1O/PCbK2dKjSsUYhIUmlKo6asRhV5jjvWYStSI9l3DXEFk5Fm4A3GWtn1
IU7sVdtRFW8e7MYoKEhS5rkcC2V2xxwdoKcspA3xc6Hcwbzva93r9lbv1V64DIWcd42nXArtY5cO
Ib5IkCRX+uPlFFt2vhe9jf40xznLKY4H1cAaKYa2y9hKdkXX6tRQ4q7OjgJM5qGNoSzDGu+I2sWW
CatUyxHNS9M6eZe4vT6EDZ6hcecBkDzJ3NXNnZXVZRZ1ldUn79Dlyrsk69cidBtLfpu9ZfmgFtn2
u2bQ+vUs8/0F+5CaDRXZuVZR5xLKpKo5eJ+pnmlnVtFSb5Kl57TnlLZm9+DEVFEicxh9J1jGOc/2
Ze4xgLLaaZ86M+I0oWZsHL1Za/TIkvW6VU/WgiXWjH67p27q3S2T415ac103kV+ZagmtuOasxsdX
kVVNXZcEpkqK6yJZMidYZdN8HloF6WOUS2UGws5bRYFSNf1hdnsPrdqO9SHoJmm6l6iRxhJVlCvV
ETSq/mJyAWdQOHH/7KVDFiOfg60QSnXyo9MvVNCwWdcPayIomEtRY10qxn66yghfZVAbRY7nbbEl
jhbQx9sUyAkVNukFeC8UiQyWJvasQJkL5S5KVt4X34jRjiVGNjeoxirdtrvTvde1AlxqoiLsR0XP
ItuPZr8uYWZxelxC9HZjgGMnzSNVa6IJM0TQBz9zzW5neRRzwq71AVGGzgLOazvNy6NhQiKWJnBh
lLSCen4z2/1NmQ7937mh/KfablwoNn2cLhuWQs/s5g5VYC020NEpfX0kKYFTjnOTahlF/+Wzkzau
CGItdVjUiePcFHoyVtHkSIpP2epLzkKq212QFxmVgqy2BuNINTyrQ6fFoBUIlTQpau6k2/ss4xOA
ZdfKD+akX68oyPmYT4fSsUh/ckgSy48htoWZaHGw2E6rcLzHsx1Ulu19tYumV2GDNbKk/DYSS/hN
PMVRVXeKiY995K6R0+OqsKmNh4UFgrZPtVTt48Qx/26EqgirJtv65FZgSiS2g3mxTFSLAlwq3Z0t
XU0LRg6dJRDZoqrIUhyFYa3TZWlXSs+4K8zUidLC6+86vRvnMLbIYA8ZGBKParoSDMk21rNBZsB8
C2a7MSQz84xQrEORRAV2lU/CjGFfS2YNf0FuGUkImt3FYdHbrDlryiEEvdUKkUjHnZkl1yU3VWqq
wDFkkgZWmjzUS2od3aIOktXMrsA1x3e8rni39PptjkfpOnGzKM6houoizu9mx74osqa5oYJ/B9uY
Xi/KjUpPu6ja5L3sWQRtal70S30jp2YN0k5DffLGG2sRu1KnOJoLyodTXOsq5PyvzlRi1dh7HCOa
6qa5laIC89KPCVRD5HcK8MHqPnDH5XwAeeeWXvaQL9MHMMd0p/MhHD0J83YYnmJ9PhjK/AD6fZRp
4gZdkjOQdK4NKQ+5L/6e1une7TUnbMeFNyLN+mx01k1tzC/XJpP7vNMO6Zr9XTn5Q+cCI2pDf065
zv5WG/N+4TC57F1PO5+trl+jQVfZJztOqWUjuYX92MVHZ6KWwU8wciniYF28Dc/NdBxOS8l6D+Qw
NGdJa13l1LyC1nJCpdsXXHuccpUZjSo2r81l9PYgSaDGxpLHO3sUcSTN2bv1S8c8W1fC7sBItHAW
+hfXXQnuXWT+oIPKB0y5kFN13qNphhZ8h90t10Wqbos+f6eNS68FUyvyp6EVl7mmsos1VvOtW3Kj
OM2cR/ygm0mbr7IhHe4VtGlkqEU7s5fsYWrT8pLXPgYedlmgl84ME86ig1cCBGiNR4VBt2+T0k8P
o3AWAYbQHsxSc8/gVB4aVRSRdLl50yJJozwbLkxb3rem8s8aO78EZrPfd+NIrSZRxq0xmB60lnU7
t40PIjOVjwJDcuCpxruRGtfJ6ujL1n+h5Ihsr3rPb4sw91PyAVGW/ftxqstn4S7VO9urjEM+Jst+
GXTnstfm6lpvuycThuvYaGVULSXnDq5WWBJhdn6YzM23rjKuOzMzs11p2+oMeLF6DytDcW3WC+pB
ZRks/pDeZPE8xmyqYryqmsSN6kTl3K4gH4GXTjd5DW9kJcl9Oycf9brXbg1C1dB3TCjNtP4oh3GE
kI2/FkX/SMZBSOOgpb3XYr26dzRhwVvn1hN9HR4yXa0PhQJS0XWb+GU1g2KZxmCy03FnqOlgjX4T
NkmRn8W19VgQSgTzYD8NWh46rh40pu7sUj/W3rtZwa03Fk4kFo8CaSbfoTrkx7lf+PwuMWtavaPK
Iq6KtVShac2XEPzs5kT42cHNLevY2/5Ry50uoH/DbVWW63HR6ioqqJEEk1nsccAWN4MTm0/CKu7k
tH4Ci39OB2281bRpuTdFnj3GfWPI4Qi2g9E8Fc2a8vBlbR6ayu7KY1bpYoArbjoKsWznUv4t9aXW
YTPNMb/E6Tqi0HhU7cVzE1crTK2Zp7YVTbKhWqQGu+vu2h4D17mpIOys0E5Gv3iWjWYWwA6ynfqd
S6iw1gD4elaWV03rJb7aF5M7ulyvudZVX0ev7et0V/WLMeOXh/0u8ysBbWlJ+HRcZ+ckecMcU2NS
hmgCz5tUfpslVt+8t9JZm7GWqxhaf1LEUda5s6xjmh0SlVSGfd/ihDfrG3B0fc7fxVWql+UNBozC
627G3Dfz7Its2rhRIH2jfNb9xIVWrNyKj9TVzvRox2CaTdK1a2jOjtFE3mg782Gwaucu8yfCZcpo
xd6pvYmL3BmFp1+1WqZZD1np1Z8QLWp9V5qJoX+s08TWyh8i0x9ls5f/bIt4mqv+nKr+zzVejPd9
++1bf/mlPv2b/w9mteZmEv3PWe3LRm3/7jD0/X/7kd0K8ZfDP+SxmL5Mmy6K/8pu7b/sTStDMcP4
Zrjbn/wzvTX/Mig6Y0kB3sCu7KO8/CO9NZy/MNBv1RKBn930/zC73QSVnxSQzYZFmc9B4rEMijyn
laQY9LjoDFsLisaAVAP8Ut9SG505KltXnM/CIMdq11UPTQ3fRGCAkH1Y10UZxzHTGp9rXRXPrTKW
93HsE12adp+dDZ6ZHcxk7eDl9ARfgztJrBJgz2c1iznssqWpAjNr4ydRxs3R67SHcvVE2MLxX3Af
9XpoWbL9mGaNG5llqj1Jz9bv3Lo09pOgAsVEfybbpIuCAmrwPXi+s6Qpre5Yt3n8ZTYL5/MS55Do
qVvcecZCCiv7PD/mMco5r+QdnxswyqdIhL2yNsVzDBlVgC6PU9QMpX0jJBCehdIe1tKabumRSasa
cAc3DS1ZjYfOHgcrGP3EPixdD5OSzD1da4x+VdmxbtRqX8hudq3zPC9wi+KvzN6jE5njwQKlqiO3
o3B9meRzeqiszrzMIDU4gEtXfNJ7N50fTDG05XGVWXHhpl33TSZOAelfEOHReGluOY2a4mFOqrSj
uwedAN6rLCbIPSMblvnXvKlydwTyzYdCfSi7ZoGylMiSTnPwvJWbecTbFItIkE4ZCUHIODTj85TM
yCCAsbqHnouLQw3S0L4ZPvacG7MRQjk+Lyw2/V2ZyqFqtUi1rVfrl7MSXq7CeM3S+CrVhgIgkeWt
AUREsekMeW6HplH6xmXmeWUTrOPQppE+2HRZMkt9eJombeEDs4Iui0x07XFqBuDuUWSV985bOxro
AFuOEnvX7HyUwsMJ3DleM0bNSvobTJPnfxkGATtTidy/cNtRgIIRK68eFuWSrgWS+oa+H+chTlny
ZhcOg2UWl71d2OOdY0NEh7ZCksI3mCw76CG1gAq0o//R93Pv3mvy6sqps2TY60mf37rO7I13RqaV
4jihW3YfJs1zPsjVz54SvbTs66Ya68cZ0Cc9rK42B+WcFnHYzL4/hXOlxI1XO1kOIK+pNHLQiJKH
bnJzuPrBI4GZ3HL66hDP0WRL11LS08L1vnZNEi+BW2+OL8LGdQqNugVJx5Ld+efFlK+femqTZG74
oy5WE1A0oPNLBUg7p2a6a0usWZFWEvx7iTHOGDpqfD6UZ/295S7tba0G80GIxdQimTbL53IYGXss
vaQKOxoc7MdJ+buNWTHOIRyXoFxnbyAHHq37Jl1kF4601nzItpRj11RLcmyrZdKjSatjiTFoauYd
prhp/aJ7U4sAZSGYBYm7xPV5ksGhnJEXJHPYF5aeQQP1eAgNqeOiWzGz3ZdJnZiYOFiLcOiNYV8j
QsE+64vlPrVzWTihVowLqPrUAhsXWdwfay91kO8wbS9R0nDD7lTujPvU2EzVUvk+DjQgKkgdw0m+
1LmyzyoApmsKV6O9V6WWf5aDlS1dUPq2hs/AMHkp0pi6CzQItn/mpva31amtm9qczXNfTNjDqrjJ
nl1v1of9VFTIQr1vLkPowjenUaIVaXVO4aKOlhijQzSTkpwpfSDMWqq4/IB/zPyEyrZZXVav+khH
FfF5NoZex0bhpPEma8Cy1EJ2A0vFzcegTjFFBPzfcbKzMFQlYZmiIC2NPcQXuVXLaI3j5nodHP+j
xsFaB5PPHtonPZxZ5dY+ZenG6GWoRtkQYcG7YtfJmpVy5GyPJTSO6tElzBRaKlykFlv73ibNL8d+
jdMLFInYPZqNX6HFaKkN79Fpplf22MYly+dgDZOU5MWaEnLfj22yhpqEiNGCdKJQhfPMczBLQL/o
owPH6UBbc3zA44Ccx930qJrY38EOW+Dag6mjZoyRyqo6M0XQYGeTNVVRbM02xjOUnpG8cmqY045N
Mq22cyVt3CYGYkSpszrApBBRAO017K45k+vtUmvIXBXNro1HprTjmejLEk2bH2Hbm4wgTBjGOzLt
2dR36WDwc3dJPOpTtV+IagOOHVQcE9F2yYIiJ/86eHaxojvo7SBdIM04nodhNySuNV0okRD+BamV
O3N+o9mgsCKobV81u6wztK8isdQQtFM8N+9sQFs4vtJ4FFO15O8XCjNkQ96woD97bfk+beh0BAwy
oI9MSixOqEvVQzl7VTy8kxaW0rMMnHA5E3PXPRei7O416ON511uug++srdU34tYi3kvD6foQBa7B
xGjN5mNdYGy516ZJlWHsuDm2Lc3MxUF1iCHXqBNpfRHbJj0hslnHRojt2l9JkaTa0vTCdXADa53Z
H5qOD58B9avOiTrljeLTqEStYe9tnbW/7tfBKGivALsa1Jmaur1rFCq1wqkpVyuIM45jy0x652it
i6PeJQBbxwVxZXo3qYEGJ4bJz1wPegnQjeusmc2bFW+IFc54L/J9M5eOc4t10rAiMx3Nx7iz3Doo
jLX2Q6v1su5qcmiU5U2Ld93zRP6H2Bsqj0OFTP2qoB5gn+N344bK4ddGVGe6OJfXfW4QjHuTLq71
0s0x2Q/4d4Jsi8i+doaMq9BTw/S5aLSYiiwJxZXAtvle1FLu3cTm2GwXAvQksM1MUTQ1zMF8NNI2
qbdDx64eK2wPn2D7U8rWm34KsTWvzlEBQKa3fp2U741FN8UHLdu8PqE25lDjnBy+jf8AVBb42PDb
Zxsravuh8lTp76pMjUnUeX0jUCPgGeVFW4DPHDJS4XUP3wig3stuGlWYsiPSOSwau7HOY1vPvtbF
6NQ7b4wRmRPW4nIzqjmJHwfE48fMmQVlkszhg2aq2t5pUYp6VxHypsfFGjtxH5eawLSrhOjVnthQ
gk7Ow7yvqeXKd4MvnfXO8PB032N407Pd2lS+mwZQ+OYjKc3Q3ahFlDdUFdzHrLD1Zjd3uWkdhj5l
qZQkXu1OTHZNEm0peoTV5TrNVWAZKh0fh0wXFqcDdsz94vnDiHCjFVY45q7W4HuMFy8oMqv4JFnb
+qVKVCsOli/X5Ih0v4jAc2quAmd1MwVUPfY8otVogxOIzm/HnRULIwmg1+09cVdyacyT+bEs5uza
NDR171UI66GQBsbyvpmsJezwkuAXMbiC9Yp4uEsgCjd1DUUN+4vV0DzHbz/qiA9A08kwDBGapKvt
CiSj/DoXdZ9fAz8izA556Z+t6aJ154uP/KnMGeQIznA4l53ufZF1V44harH32GDPnyLFonHea2OH
u0+X1GqCJV+GPeFs8ewgdpzJQYtZzeTcz6Tt80M9jMZhlLqbnJEX13crW3XZW0vHEk1xA4QOj3DE
AVzQqSDVb2W7DtcttfInN0knPTD0dDApqG1+q1XTBavesnswa5v1ok0Jq97DqMARUaW+H3T+RJ3C
0co1doNxlbGzh6+xL9bExtyC78lKnlSuGgEqnEu87za6fOgqhSW3GS3nU6Xl2UXVj1YXxFKfenpQ
VN4YTrk+fxFts9gB3gxE0554MYEFLRxFXC1b953nVMmlZkhgraprhbH5mHWuhmpwb4jS/S9K5Zhe
EFfogWDJFKmJSgfZQ2ZDNxLljvfJOrnD2dony40zDhw8S2xnZyaLjsWfSMffuX07/53r9GU6qhHb
RdBpmtXsfczEFcL5NKD5zYOhdlPtJhV6PQf7GxzDL5G1DRRx8SnSJcQ5KYivxRakT5oKBW0Xu8ht
OkVPPCf135nzVIEWa9WAxLnOHP7EGCx3o3GsNcR7Yt9TY0/qN2ikV6TDD4bOoU0u1Xi6w7wEAqqW
uKPBJRfOc8GY+Sri9zQnKKMNiEZGdGArRmJnjGgozSuhxvTGnPwCPdtaaJHSA9M5pn1C0HB9Y1ZO
ObprpWO605S9l93SPf+kG/yDB/i5ee/rUehJRQJO4dqB9zVPiI4+o7tCYacVLgDL3hsOSXQpl/j2
z0ex4EZo1/u9pdHJKLmRVLQhI4ZHIVqPpCc2gYYsL34/ChLJC03BtSBSse0jXgBYufrJIhKzR/KW
eSXaANkzxyhdccgdmuUBIDKu3oBUXs8cECwjugZKCW3xTkazPPL0Xk5YdkqfTbMIe97pEvPKG+vg
lANwAQ4AHF3Ho78Z6N7JOGOtD1w6rEQpyzHbV5ogapRYjAFU6nKHty59q/3T9iN/FmcY0tUdS6cX
KkVzss6Xi983XJ8LDpkfvzA9L1LHuhFJMl7oyeDc6+ukvnLoz6GusR/f2Hev0R/OWgNiHu6CTj3W
Nhs/AZe5bcygmKsKc9vn1sxJKp5nMTHByAOcXpAKgIFdi/Phjff5avUwyT7feME0CxBM42TkysH1
4yw2OkJeoGbGs8C4Y3aK3iBtnJlv9Ap61d6LJkjC2Zra0o7IomvFyZYw67RWOEWIbUaLa6f3Zy6G
DKD1QYyUpkLGdylZJeKD13iY8UVLx860ztNPv980r5YXn4NDzqDFLp3GzNM2Y0unZ6alCRVmvbfF
JFiEaLJFSSEOgQWpeeJ/eXNN/+Itg9DREsrYjnxxuqZTejyuOVp2KHohPqjKNWIjTDNfqKgoddoO
+LG3ZgmuBD9Wb7Sue/WehW7pdH6mekB88+rEw2245cCJomTuygtdrElFUuh1z5AUpDB/NLswbMLQ
2Uv0Y94arfsni2rpnEGfbaqnBfnpxYClJqeljPO56PIsaj2UwTcGPDmVtgG5Kjhqt6/N8cTpgLWf
9Yk5YFOvehc9NBNjVLx9np8sGmRj+D/26Hd4nvYsJ2eS8Ci04ZGjr1COt6r1MyNa7S7Bzz+ZmNn1
+a1r6mTB/BhwG47FCiFyetjSCm6sRlmntAewzMeChPXjzOGHYiKiIUYHokzKRv39yztZKQxKwX4D
9nE6wLOfngidcNspW+oYMXZ6kkgwkM/DU2E68xsv7RcDfe8JzkbccE775CxIltSoTZpkhAvbIiiK
DUamqhpkZv5W07BfDEWXd+wVFk3I6Z9uvjxfaamy6ClJQDDLOgP44KEKwtPI3371++k7be+3zR9w
LGGFQG3dTvWXY9ETRGQdHXXC2uKJjJqiEILn1I+XWSPW7FzSwv8WqkBerfBiKz1f1p6i26xWeRht
jOeX1MaLaff7j/V6BmzsFxg+DH1rl+qcTHbZj16ddSkS8UpaJ6lgUQMesp2//erPh6KdPvPMw+OY
OZmAdC2SGftYEhrN+OAO08Oohgeoooc/H4ZQkbvLwAvknT5RlmZ2XSZI5r2RCVLPotgBlNmgc23x
v5g8jFRb4xFWKovo5StNB1rBjzml0akDgkpS2kF4BD5huv3q90/1estvBhYLdhwflcFd8XIoBJYC
U5oRh0RZ2RlqM/ubBncrniDOGOob8aXQyvHr70c9iftZswTbXA58FQ0LBEb35ai4HzUJ3RSHnHB+
FerkmleTGIZrv+tZp0kyfVzTdjgWHuWc3mvUG5HyL1any/qEMeV7ILg4TlYnyfLkNXQB4f4fa/PG
1QvzEbc6sQGdSvhAv3/a16PxqPSgNPStUbV9mmNgTqsH38Wo2bTLA518EL6d/uG/OAteD0SpD1cH
Vh2AbsDWl9NqZDQlAJNA6Fzn7zuBwtn/aifQ/9jEX0E47ulU318O09fVnGIsp87hrGOU8o4+NDPt
55PtV386dQ5xuc3s8TivQ5ip773YMmqmrsvOt72t9PT8f7O3WQi2y9YmB8TLdTJxhRBEwA11Ujox
VhforU/KssuLLOmffv88rwIHhwbixIFE/eRp5GEvp04AGdPNAbkjs43szBZY+t9+ml8Mwtee4cck
1vZeD9K7akn5ZgIZ0H+ufG+LpHtmR9n7P34Uvl2Bo50vjaA6ehqdKLrKUgmaQShGK77lfinBoIa3
ctrXS3pr8WmYeKosDopTNxXxbZraSS/pAARQHdk823gY7Izw2c87IvjfP9Qvh8NQ45Ol+xTptz//
KTGSS1dKd0EqNasJvHia12OzIAwU9Dbb/flQG8ZOuIVk92qzWs26GJQGaMKpcjlHhZ9WF3pO4k4/
Pzp5/H6wV0sC+cHAFkmup5uvc81cZT5wra8FmYS+1Mj/dnrC4vvDUYgagfJhnzB6cSOdHOvamrej
zTBwRiy3DsU1otHtH08cozBpqH/bdcyd9fIdDfQc0Zw2l7QJ0YfpbMABNpKlK/eOWNJu3pA7XgXh
jAbEwSFEwE/oeLJj58HqPCemF5ib5t+bDcEugHndLXRfimTmxD+++QxOhi+0elsqwmFEd1vas3qE
MjjmTg9Xnd6KDSV1f2uEiCrpYMKZfXpX/fGbYhysTKwGXFanMRPku15lDexpAmy/XOhqJh305Ny8
+e01r1YeLwqpyCM+Qzd65e1c+rWt7XRiR6lmyCmumT0Nuzx6/ryxxL+b0H7SU5g5T98iMx+FivPi
dF10MY1MtYS9W2xn98jXY1ymUpp/K2gEuotYMgEhqKvr2qfYqdm2VURGDJt9WFraeQZrAvIcUCCh
81hp6dqFvqjhHXxDh5ZNm7Gd4S7D1dCP4hHTgaWFeVJ0V66h1g+Jv6AdIDMuD47dV/VFQ0PcfO82
GZnn5NrpLSVtlNU+FiT/Se408THvqDScUb/82MjJys4VvOnnTvRzsje3LOthnlp5haYOGkzxhp4Q
NOfpHqa19uKrjq+fsOkHqls3TQwhHHUADe/82aDNm2fHMtvZ9ExAV/ZM/xvdbh0VcJZPJiYQZz5b
46Xyrvq0Mx4zVyPc8dwB0edPVxhtGECnTbQ7LtbTfdOBv83Z1sd0iIlhu1wrKTy9uY5f707v+11K
dRFBG/fwy7MALLHWHZPrAUYUOckqZnlV+gMx5KTJK2Op1+OfPRauaxItoKqt04FvnipnVTsVSERC
AxvJu+fZV/ahKMf4Db/l6aZhFA5S9FUUMrTpU6E+8/AiCXCPoJ0tQnHo72gVmnr/+2c5vewYhS9y
wNG4ufKR5E6Oa1mk5tAlOmabcqgusq6mx1JXSDIA5byZaPzikcjQ2KCE/gTCp+FCntVDWlWDFgwT
ba0rxbUQU7j8cQj8Eav4Xzjv/juc8f8nf96mHv9nkvHn7/f87s/b/vo/CEa+hdjiwuabiDmiccCx
Cn7487b04R/EIt9kjEsUKpG2A3CJ3ws1/yYWne12RAqj6MAd+WfI4rbmfj7EEfkJXTGbc4wjCVkn
ARjfPJZmtLARkcE3eMQBWQHf46HFKZ3zfJp63ow0i+mP4+iNzaVWzj4+rwE2iXIVtjua67UWsMds
1c+1JjkMda2W/4e7M1luG8vS8KswalNVEc0sDuC0qIowB0m2Bsum5Ex7wwApJAASEzGQBDs6ojf9
EL3uVS1618ve+U36Sfq7oODkBZmiLNxIZ9oVUWFbznMv7nDuGf7zn5t5g6hWf+kmlPQInC3MW0m9
R81LMGnNulFMVr9pkgEYUjC+CC5bEKAuSSH3WmM839UHqKet1sCmzRegrLDhaUOtF6yTfpsy5Hdx
XLV+8rbbVgIEsCtA/LVuDSLdrQnkSvODxuKiXg9bzuV86wNq2kTh5qPr9urhsLEJ4SVa4BimfXu5
DOtnrVa17YziuO4nZw1/DjMpJL6Tc3KeUEuvk2C7hcU5BGmtpVQ/j3rBFi7gbcuxF2fRwrabdz1/
sboEpkjtBCDnOb+HI7QzsM20l/L4LEltdqNke7ElWw+x4yRdVt90/EljMYR9ujle1fnIAcCTLVCB
TnhCpx0EqqjIb5CxbffQO1hSRcIMZ1InOz1vU+w36QXwJEKoREnc2nXXF+2JA2LD8XvU5FXdYdyw
Oje1qBa3qRSGdKsPjUD3AsHe7d4tOGJsFZ8PuAGInWGXEB4nKFjsGVN3AtO11r3u0KVk8KZebW+G
olfGxRyw55vGctI9++rxUIKY4VAhYOUVe7mtIbF3YABivE0EbXEc2h8FM97QhVpzVgcx+3XZliYg
fVFzimFEH0bsfm70vjsDKmqBBaB1h47Jpy2q5vqN5q9pWmhPnBOfVtTv2VCoEeLigrOmVUjlRvTa
EXofwrcUBiqPGo2ZvQ62jwr+2eaxaPOFISnA0cJ+zep59xw0ex37c4BonaEJ7GwE9z5ccub2lLtE
JkzWQ6RroHWhNXiTUApfU0ROL9YbbW1v1xrYmEm06o3AulQhvYdqLX2zIhm4vE8aTq310dGq9eq5
12nYP5sezEejCWZ1F04/yu60Td/RWivBT7/YbN5u1pTqgj9Ya5OPc8qOaHHagLQSaGE7gMsrbbhY
yXNgKbBNtfyq0QPa5F73zGZ1dZGAA/qR1H2cjrZxwgHCo+uCGvFogwlkMYzc+mAbtxJAVLDHuh+t
urasrgcgtFL3rLvYmKg7ym0FpyBswuN1s4qOAJ638IZzpxHAgxjBgf7Oqy5X1sBdw6ICDoDKLhe7
Y2WGl5BjgccetKpJ1WkAxkABQ2HrtiBsGdRcq5W+WUyqG+gHF22qT8DLpuaZV3d9Sm299sq9Idfo
1YdxO5l7LoWKC3JCiQ9XGTLcRW1k1uq0OFh17MDxqHBYp5Mrd1Vr26PWcrV1bibrWtC+b7uT1QqK
5njemoaLyHNGy0YULM+tbhR5lzXfm/xEIVEVOoEtcNGfNnhZs+285kCVuLA32360rNvx7ZbY4/yD
27Pm4btmukxWd/iZwfyiay98+xpyNLBEkeO5DnjXYE3R43COt1E/06BiTi7ibbBaXkFvDq+Laafa
/P2yES9F8iK07Jtt4lUbl9v5JkmnlJWD3esRvOy9XSXtSTpcut3QOmPELs0ENoHdHW5trTVNF45z
va6a6Zr0StBa9antiIKHCfx+c1hPYTBILlrVtEdlYrsetUEluWG1eg8Au9e5X3DjfOLCSdc58+0t
QDAtBAh1H1mJr41X27q1+eAA2PZGtGrcbM7XrrOC9xTk6eqts9x6QKwFEHTyk7bqNNtviCCE8BhS
Bep9Yi/gZLuw4jV5wyG1n6uG3jCTTjU+J2HgLmdm1+ms1wMT1OYCTp2evaZPVROkJ3CqemPYWfGA
xl6bOspudb0wh1T2rLxLpznpUvkZJlF6AQ6L0naKVzvnkbVuts8DzadwM9iIAsmYze2eRwCla/0Y
rExnFDNveod68ImdLfGMGhfUZvkfgTHD7rJNFmuIf+OetxkC1aR8yInMyWRkL5IWVwwqfqjJcKni
N91YW5kjJ4DyeqSBul7325Nuet9NJ+ZVzdOc7mgDKy0dTvjU3iiGNB7A11oLX2/nnUCjnnYDHUB1
4lFZkFD6Yw1d6qsW5xsvBWps94IUGLhlpSks582aedXUlpT6iyBFemE1gtblPLYb3rm3WPY+0QjC
DM6sMOyYw2qjMQ/Olku7034NDbgV9zvAeKl8qsN41Y+pRxWFe13vGrrVnvl2FVMCeGdZm0b1wm/C
xTuoL2reTbRqdQL0UeAvhqE7Me+0Fd8LVX2Vx6XLO0NxWz2Zkxm+TrUwcGjzsu01Xaa8hdu1w8wd
qgq6ogjdst2td0PnUfi33Q1Vob2LDe8GGkjbmqF2bibw+pvLN8tmgyYfyTDxyKmdOV26JAwhbglw
jey1NyG38PQjWnBbRFoJ85C3DS9MI79diMh4tIu2iKJaQ2vtaW97oMOG7WSy7je39eqJR62ImMrG
AjfAS8ATinlbeNWw0wKuXMca1sKVd9YE5du3KcMaag2/9SFt0YUtAHTN3zXMm0m3Whv5m95kEC6s
4ITfWbBUxETqIGkwzwkJNfB55Ze8t6xFzTijRNBSCAVR4uZUQ9PQNQ2IXu+qG0K7eGKhC0+6BvUM
hniLzAVk9N1GTbyRe2/tfOJROqRpFL0s11D+eOgtZ+MvTsRBD0fB/AJyI7r0QqhWDEWtNlQx00mH
2of1il4aAbST9EX7yv7GfAvpHpgOsNqFtVf025c+FgUgY8ghrLj2Loy0xus1fbFmTx/N+pGPgZIE
QibwJjCAFUmLeN1iOiRCTGoR/MA56bbphngThs3lYpQEnV7wYePCofm6QZUk3MxVs/EpRoP3rjx/
uYqvYD6r1c+XNGLpQk5NU8Eba77sncpkFnJ+MBmxBLhqYH+4QqyKvK9UI603S8eBs3PpdEat3lIb
tAKnDhaxxwsheK2tqvbYduqrPPPnud1/tCpCbsneKTngxrkyprrne/jbXmzHaeZ+i/9i534329Dj
oOF2Lnez9QM2cgv2p65IrPQav7jgTe0H7katUcNPF/CMNhri0QVvNuHEgVyHRAmGMQGW+tdw4vB8
yLYv3W2JbaHyuJRkLPEc5PMRkrv3TXdRH2za8AaP5quF+eD0msIy7HQX17UqpbIdQpsf3Q4dQqpU
FHGU0kX1U6cbtrsj6nH8h2Ru09ZnFTjOvR2vJ1MKYTvaMCSycDuZdCgVEx2RtkPXc71PpqB7aDgh
wO3aorq4Ire58M7MkOeHOm16fVHavaUgbh7SVwqZ8wlA93Z9HQxrvcn6Z2fZa93Tt2MOC6u3uAO/
R52+t612xn5nDc7ZX2nBlQsy/47KQ/umukpSyL5XtnmVhFwyiOQdepHBaDMh6ADNV3/VSkMqrGAd
GMS9sEfbQJKdN1a07cAn2Y7a98mK8rlhSKXG5nwbJEFwSZUVrdK0DezTFpVxRGFbSQAzTbpefMTS
f4A/FPjHkibcgjMuHGGcA7ZbuTWS/NqyZxIYN9e1Txr40OtOe+P/2LTqN5RvtKxRVaOlGn2/F+lZ
FwJ3qqmT2DxrWLiNVWD98Kc7jQXlLgIkRc+TdNUeRJta7Q3YfRpONCFM+dRyaua671Ez1eNpr8Mh
QL1gs9pvWl3g8HUcl5jCxuoSZqzq0h+YoufswKo76/Fq3p3fRFGr9paI+LzKx0HJ3MdRp6hNi6HG
Glo0HqNTRrRuvbcjL/3U7VJtBUF5A+9nYm3ncX/Z89Yj1/GbFuGP9obGPSHdDkhYTeb9Zmu70IYt
zUl+1CZt06Oka938ONmse+kAwDGkxH6HZh50ImjMHJ8GGTWIRpZnaa+++Nkl6fBgQ5y8fLOFyqg+
WHjVtsFyUWpd21YhkdYA8jFS6r5uNjZwnAXAsadhGkH61a7BBDTSKNRLKUKhtvUsJM84H86pDLHo
6LUI39nRth7RhMhutoZmrTu5qzW3y5/9pk+nJczlmAxAaxHdaYRhxk7HoRdTdU4Beb/dDJZvwm2r
+9MG9D52UpTUwl3+5g+kTR+nepRqbEeNRr5L/PTWt734jip/of3eJUaY7vjInvWP9knLDgU9j7ss
K9eWYqOZpGwqT0lwdGacPBh//1ND+wFoIcAAEX0QvzADHd8zH3+saT+Q66QhNIHL7BdBTcbbW6HD
qR9ysr3s3zz1AYUHp9QS8MbwGjXqoJWlb+fFIofNkyWQkNmv3923N9itst9OzIlSehEflPcdh5in
GPRDfix+X/vexvQr9ekE/iFBA+JD5Dbf3r0VaJA8IHFQ4/HerQD2yu9rBah0KbsE9R/Et/GYUKMi
fsmXv9Xhx01MJlG88txvf4Zq+KIewfc5D5n2tI3omP78tX+Q687Dn++ZomwcnIfSP71LA2M3+k6B
iD//Y+YnNDRBdZu272Wqbe+HgtZy74/Sv92xW+79NNeL2bQex3pcj8OZShMbiSeERcj/8sI2Qj2c
UamfvS2PXyUoNf/+p1dJFIe6Y+uS3c3x/GUmf/+TNNG9Y/KU4Bs//Nl3FpXXkaN7D7k8YdUDUAOC
gKsMcoinoNnqcvueHu7Yd395OA5XQ340vv7ne/uOLttzE/b34om9/CPsu4O3Je86jtLTu7BLPjy1
6a+8Bz8MpbPEG19aqjij8lxFQKGs2L7hmHbi5oLE0RRPYGmx9Ayx9QqHvnJhhFvD9Fe2Jy2J8GNL
j2I4OrHfXFA2eeEsZzdcaIuX3VpKj029sNYit1xW7tDwXD1c5IIyNaBgrV+HLENBuyg4cKMo9guX
QwR/yi7CYGvMLPkcdxSs7RkcE4VFEJz9ZWd7poe+8ai+pXMmHvDSwkPdmxm5HHEcRKlXWann9pS3
LNbDXJQQ3FOwc+e4Y15kpJJcBY/kuRG6uieLVbEOUIvJqysCrGVXdxD6eHqSJstqrcrKvUg8dI60
CFjK5ef7enagHKjGVSA31h15tqK3RdlVeGOEhQMGmFuBWN2rXOupIcdVVbxAV3q8KpwGAV4suw5X
dmwlRdOkLhJKZSWPCXzpi+KUFazxlY1ejw0vig1bXmcBwy877atkY7hT2LXMXJbQanVNgYq/9p0H
1kSSK9BsZad87Xv6zM/lZNMVTQVKixW6PReTSW0r2L0bI7aMULyg0itH5icf6uXmFE7QWpd1hYqn
GcRW4cGHaKD8bG/9kMIT3cklZUsMtWLpjXvv88rJF69RU6ArxI02ioIFnq7sSRtnWhOeX+kQN1R4
HeNAl5UE1YQKJrzScehCyc/OqvhLr8TaeJAfD4KbCua7tuPt7tblwsRpy/BlZad8vwhZYsm4zBg9
S8v17Nh4qFzanvngy26jpuDMfcC4mnHuBoT/pTUReceyc0cj80AZZigfaBVezdgIp4W7LVrklJ0x
cSOj4v+M8SI/qQSP1Cjm2EL2zHgoenqiGEPBY3XpR7QmyNdBHG5Q4eSeFRi2n/9DqP9jrhnl+iB+
oFqgAR3x6CYA2nwGv/aIfbvQGt1ucCXzIOX3E1ob6J7+INkpGYyhZGTmHJ/uwM9X8ThfGxu7YKwJ
zETZ+ztGB8eVW0LPoZEFw67tZWKQE8lFZ/pe4JLLjnS/08vjWI8NyYTLWKrKSh8ggKBC5ZVrhOjn
fLrZ7MkJPKX4mcyXpNJTUdMBEbfp1CgoOrIlRMmfspJ28r/dBRa4t/Z3eIFfhaY4NXLQVkAey56l
vu/QuVw+QwouQD/Ut7ZktYsChrKTFQpZMqJEv+LSQn3HdwvmgiiBKCt3NEt0Ug+5IHE7VSixs9Dw
ZlblPLHR6fvCVTiHZ7qz+NWH/OS7fToZc56khVnXRU627FKPIWr0yB3mksRaZ/1Rywq+1UPdTAru
cldBBOXWCBN5tgo8rvuQpnDyZOkgkA/za9bW6V37gJm+5aGUjhtccKckf8NngDa+tWc9A0KpckpO
pEf9GU/hiX8jZaS/VeocrkHZIIBFr7hNj5/8TEvglUfyYib8wFxOdrtAuOZ/zg/WV8qNCq8OGfhy
EkdJ6AeyDsgy5QX18nXTJFyGV3bM0spchVKyjwIddqiOUnLHfnJ8zjvrqJTst+ImyDsnKDc1iiIp
tYMHloqW3oEu+7o1vwV6aBZ9YLDRLYpl4RMF5AzCFNh08bgkv8Bcnmvncmb0wkGEToj285R4QklG
J3qA1E/p++cO1CdQbM8qhx4BRGFUb3cpz+b7BMFmS8Vw1/TICvxYd+WtogsBXaC7glizLood2k8m
Tp/7bde6aYXGNN8OoR/opN4R/xNcPADSIUJ46pl/7kBfvJLKr0TI4cgRHe8hDCWEmVWMNPNZ5Vrq
4JB8u1dKXPXGs16pvUkfvEL78xcfCcZq/69G3D2BvMrgZ1JkI/9J/pdP+YMAU+ytpFsbCpLCcHLH
euV94W1pKZA8cipj3VkVDXDBDmaIBUmPHIdnPojnCU69q8vW0OFruLdlzxR84Xv0/tO5DLspZu+s
imjEDQuc2bGS5CfjBM+c8i3WvCsbBqII7OklPnY6nzizKpFzwmrJj/v3E907bqJR8/j73Qlhln6H
G+GYROSk+6BAl73yTJKr+V4KrXBgKH+9sun7cbQu+uIq5JL8lOOpChIX/SRMvAd7fwlEL/qn1cxp
v3Zg6VJ2UgWi470RJFMHS488EUn8Ck0xTCnloj1lkTxT7Q4N15+FIjlXOT2eghM4ILYS+nKc/LT7
/4wN8F0/9KUHr/VUdPmZy/MlPp55w96XNcpPjLhCT1rZzx1HD4zKByN8kAyjJ/2SZ0oezm3gNbF0
4tsnH9bTCz4y4UrYXwZRZVL2Go2WWEQ+es8RUUnPkFSVqDkqPUBIraosVkU6dxRbNp1apekK5sGy
073j2p/rxZBy9+RrfHr7zvWpfAlPlyk8Q6hVeAZOJ2ifIfTgIFCBU35pB5//JzYqD39+vfLtULp1
EBaWF39peKl0HI7EpJJfggzPvMxX9rRoFVAoXH62V/j4sSU9LmTzFci1p4VVEGywZW/FNQloU4/w
RHJZmX+j4hkBTOrHsXwclCBUcPLWkg6G7Def/csdyGtqm3Ip2RqoeDGueUhnhZx5S8GVuNbJrcS2
XNYBXWD+AWWWQUguBhNhSFAg2t8K/UtyP5eVrbPg4ix7jG9sTPxcTCZVxZORSZVfIhhV8mFevsa7
95gGnVGkJ7m4bNai70nZtXj/+Z+JR01hLmknWMEiv8czkeEqcGfko7x8NcZGOrMMxylAMgSfadml
eAy5H6RfqL1VIFzA5GQMLNXcCuQKJIxeuTL8AjSxrsAKGgOwLdRwQjOqYNLJg4xKyRq3l92/O1/2
0ugIr2Cqn//Lr0Bp+/mfGdroNvz8397MllNUMDuWH+iOa1jIYgC0UyBX97ZFBQ09d3nB9+bBBVdR
qEGcYAEQoHKmR5JZ1FBR9EBxsl2AiUCQXX4tRsRhSEJLJkHWmKPsmf504IPQb6j8fD/Z7lSfrqWn
FYqz8oJ3OnR8cL9VAFv6dli5w5iTIEmkKsvP+tU0NaS9o1WdIDaHUoRuCqQQRZH+iffl20XEoUP/
LiPi9KJDcZFdkowTBaf/FSUCU92ey4IVmGqvQpfQqeR9KojN9HXPdPQHI7LyMyiMNBVVfNcguaif
lsSqmLCVFDdNgWrpEz+Wb6ngby6rYAmLTv0Hec9UPGPj0K5c6d5COgwqIgakvGTMoIp3kbSlWbkU
/zd+9T5f1MwVUGGzv4a+wTMKxg3NOPOBXu4NIFneOlo7lZf6Rg9k1UCr1vJSL9PQTLdFdZZRiZY9
xDuA06VfCLDWmwqWePeiH5Gt4Epf6lt9YR0uiYJ7faXLOQkqV8pvIYU9un9wRVQAjSmkIkFYOMsq
LFMCVQ/2SvaW620Fbx2CdZrNS/qtriIVcWMEsp9M5+7yWydQwBTuH6tuynpulL2Ct5SAHxxkFRwR
t+Dl7SAgJxPlq5A9/0+CsZ4Z1R5Tc6gHqA1Jcl3B6bizdLtYTEx3gnycl2v8O31Oo6/iSmeNyctu
4Z1uE7PKp7izsVTMGIdWmIUHc1ahke63U+PIcqio4v9gGzHIIGk9VKi6t7Au+avKawjSk6Dyt8qI
vKMfJ0cYvWgAWFOwAY8DXiaeHsFMzpD5b+1jg8Lkq8CGGAfk9p30mL4BK6rC9rm2Hx6oZR3pUby/
R1rnaelokWdVjz2u2tii8QLWPKv25bdHuNdorNpREVTKXhWdDQpt5//+/T+jhZ7qlfMwJfHEDC7I
nbp6vmuSPgSGCYe5gljAnQ2eoUpeTk5Gdei+BB1zvtIvV2BjA6dgkR/36G9DW/dT/CW78g58jC7F
vHqdFuT3CgYd+osHnwW80xe4kbYM94NBU7RWLP9pl3pih7bExkVpUI2OlApsxVu96tjVGURX1ShK
8snufJRsDAV7Dz+DeUSyAh10pQexVTBrdktz0rb5doGlY0UB3yHgb1eB6wE2dn3ZnFWQn+lDxUU0
dP9UNRSIHYuCR987+rwoED/wZ35U+culAWTcM/96bBgVeILMb4UCDcYEoEcE/Xcvi6TYVRAHDXw/
ZwyVZZ+8fKdRMmf2XA4dq5AJOQrmA6wg46z6PCOssGfhYRTlyULuZ770j9Wool/bQZRGBcD8UX4W
SBCbLUgmvsCdRZBMZkhSUZoJvl8yXA+rmZKvhgBdGBDhPJ7Q7BuuZ0MIqZz876STlXFVl3VILnlN
p+SV9pUHHSDzP77cBhlYIe6Iq0ePn5NLzF5TFbycN8a6MtCdIywoKqhhbuwCKEQFkvCD7gGBlA2L
jgK75QbwjSxVxZ0VC/zJIAQjs5TC0pLv5ctPx60dz3Sbi3pEG1NLp2AAPUh0yr/WR7Cm0PirGMAp
QmUUxDR4pCJsuOMxJBXFQztukwvDMTz9Xyqvohncf0BzMmVzJ24sbhh+0CDxLNmgUOFO3vkLqsOl
k0pv8vJ7cUdkU56tiqj0XQIzWWGyCk7mj2yvHWULTvtPAgb592fRIBXAwQMjk2ZC+SAvv7IDESI0
wviLRZiLFPNuUUbZEc0zaCWEp0SjVQUOzf0+O07lGkq7sPI2IeKBvXhMcTAoI9dqWguqftFB9DSo
/Bs6PkfqlMs6PvtfIzb66RLP/X892q/+VFhJd6xI+rf9yp11PdjvsJBP4KlCVhqDh6aceRBts8ua
W++TqJDPyHrulRV79/l/QTSlRj7BTJWcNrKOnYDfpsLyWDV7vi3ZXj0eX3bvl7U50aFi/2t+H6f/
WBn9d/iVR2r4v7+vPEYZ8P19JdU3O+q23/bTXqikX4XJVDKf6rkCfLmZQ9TAhh0ps8/6ejgtBtZU
jGAmtiNX6qrIh4rZQmQgxwgUvFmiTq2vWxTwS6JV4FUGegq98jFbTkV2cVA4HSps66HvgsGVSY5U
5PJyucerUFWAKWDhLJJ7qmDeJgz2ADdmIsPVVZSNXOgUFOXXLQsbqciNveEcF/aPDrn5MC/XG3ju
Ap1drCVSUacsGJAjUYIR59PMVkNFafIt3UFiX1CrSElBmtDmQ718RXahhks7jnfe7o2xsmUNoiLz
vhvlKpnJxjpttMt/AQERz37QH3bREX8K21QuNLOwVfSiuAO6sVufAeeSjMiRiFjjkPIs+erY8m6h
Ptg0r4HdVgTIBe/ATiscIH9UZF76oiAwsiofbDypo0q+oeJ23I+fHEHBQe4Tgi+UETdUMAQNYPEB
7CcdKRWZ+LEuW0W0Xc7HKHGbBSfyiHZmJAsS+RqrqEDcnU5MmNj6/E/HcNN8xuKitdRUsfEB1zoj
yE0BKMFQASncfcDuFaj85SxrEvXX/Y9oEiI7GT7c92FHjzGZ38Yj32F6/hBmP8aoaJOwv7gqGlEM
0qDQlk5F2PQc/DEp1tAOpPmqeGBfc8gkoSrqJl9HoW5I5U91FYvLXJfSXFW04njjhw+FJVDRYeEy
WWN6SrNVUQF2ZUx1r1AFrQLP9hYXSpqsiiK7d3BrhpJUFfntsZ482JVXoV4skHySO/OZGINxCsBj
f8o0s87/+PJ37zEJIeZcGbm2gEzIr58K5+FHoID42J6Ea4ODs/z0PxrggnMxmdHaVhAkufErHLo/
R5VicpjOHflgL1/yc9EjqjJOpg/kIyEqlq6iRq93BdksSqGnx0xtklfoOxWO8atpUrlOIulEPkpX
sEb/+n40Hr3/MBr+W0UcHoF5OTj/hJ/JhTUpLu02oI7VtNMkKi+0P479ZxmR6C6V9JiHmjnAW/7x
/wAAAP//</cx:binary>
              </cx:geoCache>
            </cx:geography>
          </cx:layoutPr>
        </cx:series>
      </cx:plotAreaRegion>
    </cx:plotArea>
    <cx:legend pos="r" align="min" overlay="0"/>
  </cx:chart>
  <cx:spPr>
    <a:ln cap="rnd">
      <a:solidFill>
        <a:schemeClr val="accent1">
          <a:alpha val="94000"/>
        </a:schemeClr>
      </a:solidFill>
    </a:ln>
    <a:effectLst>
      <a:outerShdw blurRad="50800" dist="38100" dir="2700000" algn="tl" rotWithShape="0">
        <a:prstClr val="black">
          <a:alpha val="40000"/>
        </a:prstClr>
      </a:outerShdw>
      <a:softEdge rad="127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xdr:col>
      <xdr:colOff>428625</xdr:colOff>
      <xdr:row>57</xdr:row>
      <xdr:rowOff>66675</xdr:rowOff>
    </xdr:from>
    <xdr:to>
      <xdr:col>3</xdr:col>
      <xdr:colOff>466725</xdr:colOff>
      <xdr:row>71</xdr:row>
      <xdr:rowOff>66675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B86CFB6-A30E-E6A0-C2AA-341A044864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8225" y="10925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161925</xdr:colOff>
      <xdr:row>46</xdr:row>
      <xdr:rowOff>47625</xdr:rowOff>
    </xdr:from>
    <xdr:to>
      <xdr:col>11</xdr:col>
      <xdr:colOff>161925</xdr:colOff>
      <xdr:row>60</xdr:row>
      <xdr:rowOff>47625</xdr:rowOff>
    </xdr:to>
    <mc:AlternateContent xmlns:mc="http://schemas.openxmlformats.org/markup-compatibility/2006">
      <mc:Choice xmlns:a14="http://schemas.microsoft.com/office/drawing/2010/main" Requires="a14">
        <xdr:graphicFrame macro="">
          <xdr:nvGraphicFramePr>
            <xdr:cNvPr id="9" name="Payment_Method">
              <a:extLst>
                <a:ext uri="{FF2B5EF4-FFF2-40B4-BE49-F238E27FC236}">
                  <a16:creationId xmlns:a16="http://schemas.microsoft.com/office/drawing/2014/main" id="{F425C017-00C3-0625-A6F7-C0DDAB2ED9A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877050" y="8810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123825</xdr:colOff>
      <xdr:row>0</xdr:row>
      <xdr:rowOff>0</xdr:rowOff>
    </xdr:from>
    <xdr:ext cx="374205" cy="447675"/>
    <xdr:sp macro="" textlink="">
      <xdr:nvSpPr>
        <xdr:cNvPr id="13" name="TextBox 12">
          <a:extLst>
            <a:ext uri="{FF2B5EF4-FFF2-40B4-BE49-F238E27FC236}">
              <a16:creationId xmlns:a16="http://schemas.microsoft.com/office/drawing/2014/main" id="{5618F907-583D-41A9-76AC-AA0A3D16CEE3}"/>
            </a:ext>
          </a:extLst>
        </xdr:cNvPr>
        <xdr:cNvSpPr txBox="1"/>
      </xdr:nvSpPr>
      <xdr:spPr>
        <a:xfrm>
          <a:off x="1343025" y="0"/>
          <a:ext cx="374205" cy="447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200">
              <a:solidFill>
                <a:schemeClr val="tx1"/>
              </a:solidFill>
            </a:rPr>
            <a:t>|</a:t>
          </a:r>
        </a:p>
      </xdr:txBody>
    </xdr:sp>
    <xdr:clientData/>
  </xdr:oneCellAnchor>
  <xdr:twoCellAnchor>
    <xdr:from>
      <xdr:col>1</xdr:col>
      <xdr:colOff>28574</xdr:colOff>
      <xdr:row>4</xdr:row>
      <xdr:rowOff>123826</xdr:rowOff>
    </xdr:from>
    <xdr:to>
      <xdr:col>4</xdr:col>
      <xdr:colOff>9524</xdr:colOff>
      <xdr:row>32</xdr:row>
      <xdr:rowOff>104776</xdr:rowOff>
    </xdr:to>
    <xdr:sp macro="" textlink="">
      <xdr:nvSpPr>
        <xdr:cNvPr id="14" name="Rectangle: Rounded Corners 13">
          <a:extLst>
            <a:ext uri="{FF2B5EF4-FFF2-40B4-BE49-F238E27FC236}">
              <a16:creationId xmlns:a16="http://schemas.microsoft.com/office/drawing/2014/main" id="{0515D4EB-1BC0-1291-BBB0-CA6258539565}"/>
            </a:ext>
          </a:extLst>
        </xdr:cNvPr>
        <xdr:cNvSpPr/>
      </xdr:nvSpPr>
      <xdr:spPr>
        <a:xfrm>
          <a:off x="638174" y="1085851"/>
          <a:ext cx="2362200" cy="53149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85724</xdr:colOff>
      <xdr:row>6</xdr:row>
      <xdr:rowOff>1</xdr:rowOff>
    </xdr:from>
    <xdr:to>
      <xdr:col>3</xdr:col>
      <xdr:colOff>1243852</xdr:colOff>
      <xdr:row>13</xdr:row>
      <xdr:rowOff>66675</xdr:rowOff>
    </xdr:to>
    <mc:AlternateContent xmlns:mc="http://schemas.openxmlformats.org/markup-compatibility/2006">
      <mc:Choice xmlns:tsle="http://schemas.microsoft.com/office/drawing/2012/timeslicer" Requires="tsle">
        <xdr:graphicFrame macro="">
          <xdr:nvGraphicFramePr>
            <xdr:cNvPr id="15" name="Order_Date 1">
              <a:extLst>
                <a:ext uri="{FF2B5EF4-FFF2-40B4-BE49-F238E27FC236}">
                  <a16:creationId xmlns:a16="http://schemas.microsoft.com/office/drawing/2014/main" id="{E0643A1F-B818-4B1A-863C-7AA231DBBCBA}"/>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691860" y="1350819"/>
              <a:ext cx="2716765" cy="14001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95248</xdr:colOff>
      <xdr:row>13</xdr:row>
      <xdr:rowOff>104775</xdr:rowOff>
    </xdr:from>
    <xdr:to>
      <xdr:col>3</xdr:col>
      <xdr:colOff>1266265</xdr:colOff>
      <xdr:row>22</xdr:row>
      <xdr:rowOff>161925</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3C0709CF-3A83-4A8E-9CFB-C7025B8100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01384" y="2789093"/>
              <a:ext cx="2729654"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95248</xdr:colOff>
      <xdr:row>23</xdr:row>
      <xdr:rowOff>9525</xdr:rowOff>
    </xdr:from>
    <xdr:to>
      <xdr:col>3</xdr:col>
      <xdr:colOff>1255058</xdr:colOff>
      <xdr:row>31</xdr:row>
      <xdr:rowOff>57150</xdr:rowOff>
    </xdr:to>
    <mc:AlternateContent xmlns:mc="http://schemas.openxmlformats.org/markup-compatibility/2006">
      <mc:Choice xmlns:a14="http://schemas.microsoft.com/office/drawing/2010/main" Requires="a14">
        <xdr:graphicFrame macro="">
          <xdr:nvGraphicFramePr>
            <xdr:cNvPr id="18" name="Payment_Method 1">
              <a:extLst>
                <a:ext uri="{FF2B5EF4-FFF2-40B4-BE49-F238E27FC236}">
                  <a16:creationId xmlns:a16="http://schemas.microsoft.com/office/drawing/2014/main" id="{4391FED5-E5E9-42DC-B6DF-BD9B3ABEFF9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701384" y="4598843"/>
              <a:ext cx="2718447"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85724</xdr:colOff>
      <xdr:row>5</xdr:row>
      <xdr:rowOff>9525</xdr:rowOff>
    </xdr:from>
    <xdr:to>
      <xdr:col>11</xdr:col>
      <xdr:colOff>459440</xdr:colOff>
      <xdr:row>18</xdr:row>
      <xdr:rowOff>171450</xdr:rowOff>
    </xdr:to>
    <xdr:graphicFrame macro="">
      <xdr:nvGraphicFramePr>
        <xdr:cNvPr id="19" name="Chart 18">
          <a:extLst>
            <a:ext uri="{FF2B5EF4-FFF2-40B4-BE49-F238E27FC236}">
              <a16:creationId xmlns:a16="http://schemas.microsoft.com/office/drawing/2014/main" id="{03BCF28A-9692-4EEE-A265-161118968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576539</xdr:colOff>
      <xdr:row>5</xdr:row>
      <xdr:rowOff>1682</xdr:rowOff>
    </xdr:from>
    <xdr:to>
      <xdr:col>18</xdr:col>
      <xdr:colOff>33614</xdr:colOff>
      <xdr:row>18</xdr:row>
      <xdr:rowOff>182656</xdr:rowOff>
    </xdr:to>
    <xdr:graphicFrame macro="">
      <xdr:nvGraphicFramePr>
        <xdr:cNvPr id="20" name="Chart 19">
          <a:extLst>
            <a:ext uri="{FF2B5EF4-FFF2-40B4-BE49-F238E27FC236}">
              <a16:creationId xmlns:a16="http://schemas.microsoft.com/office/drawing/2014/main" id="{14C681F4-012C-4BC8-9C80-A64947BB6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19</xdr:row>
      <xdr:rowOff>161925</xdr:rowOff>
    </xdr:from>
    <xdr:to>
      <xdr:col>11</xdr:col>
      <xdr:colOff>628650</xdr:colOff>
      <xdr:row>32</xdr:row>
      <xdr:rowOff>0</xdr:rowOff>
    </xdr:to>
    <xdr:graphicFrame macro="">
      <xdr:nvGraphicFramePr>
        <xdr:cNvPr id="21" name="Chart 20">
          <a:extLst>
            <a:ext uri="{FF2B5EF4-FFF2-40B4-BE49-F238E27FC236}">
              <a16:creationId xmlns:a16="http://schemas.microsoft.com/office/drawing/2014/main" id="{653D38EA-2968-40B4-A212-85844940F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322728</xdr:colOff>
      <xdr:row>19</xdr:row>
      <xdr:rowOff>185737</xdr:rowOff>
    </xdr:from>
    <xdr:to>
      <xdr:col>23</xdr:col>
      <xdr:colOff>1367118</xdr:colOff>
      <xdr:row>31</xdr:row>
      <xdr:rowOff>180975</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E63D1961-2621-CB22-B159-D34CEFC701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428257" y="4006943"/>
              <a:ext cx="4036361" cy="22812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703933</xdr:colOff>
      <xdr:row>19</xdr:row>
      <xdr:rowOff>178275</xdr:rowOff>
    </xdr:from>
    <xdr:to>
      <xdr:col>19</xdr:col>
      <xdr:colOff>235324</xdr:colOff>
      <xdr:row>31</xdr:row>
      <xdr:rowOff>156882</xdr:rowOff>
    </xdr:to>
    <xdr:graphicFrame macro="">
      <xdr:nvGraphicFramePr>
        <xdr:cNvPr id="23" name="Chart 22">
          <a:extLst>
            <a:ext uri="{FF2B5EF4-FFF2-40B4-BE49-F238E27FC236}">
              <a16:creationId xmlns:a16="http://schemas.microsoft.com/office/drawing/2014/main" id="{404D356A-17F8-4742-A122-FCC3B2F95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134466</xdr:colOff>
      <xdr:row>4</xdr:row>
      <xdr:rowOff>179294</xdr:rowOff>
    </xdr:from>
    <xdr:to>
      <xdr:col>23</xdr:col>
      <xdr:colOff>1367117</xdr:colOff>
      <xdr:row>18</xdr:row>
      <xdr:rowOff>179294</xdr:rowOff>
    </xdr:to>
    <xdr:graphicFrame macro="">
      <xdr:nvGraphicFramePr>
        <xdr:cNvPr id="24" name="Chart 23">
          <a:extLst>
            <a:ext uri="{FF2B5EF4-FFF2-40B4-BE49-F238E27FC236}">
              <a16:creationId xmlns:a16="http://schemas.microsoft.com/office/drawing/2014/main" id="{3A1979E4-B523-494F-BF3D-D7E9055D5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refreshedDate="46191.063419328704" createdVersion="8" refreshedVersion="8" minRefreshableVersion="3" recordCount="1200" xr:uid="{54751170-9968-4D8C-AB80-17B84B8DFF9C}">
  <cacheSource type="worksheet">
    <worksheetSource name="Table1"/>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6">
        <s v="Egypt"/>
        <s v="Oman"/>
        <s v="Saudi arabia"/>
        <s v="Lebanon"/>
        <s v="Iraq"/>
        <s v="KSA" u="1"/>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Months (Order_Date)" numFmtId="0" databaseField="0">
      <fieldGroup base="1">
        <rangePr groupBy="months" startDate="2023-01-02T00:00:00" endDate="2025-10-01T00:00:00"/>
        <groupItems count="14">
          <s v="&lt;02/01/2023"/>
          <s v="Jan"/>
          <s v="Feb"/>
          <s v="Mar"/>
          <s v="Apr"/>
          <s v="May"/>
          <s v="Jun"/>
          <s v="Jul"/>
          <s v="Aug"/>
          <s v="Sep"/>
          <s v="Oct"/>
          <s v="Nov"/>
          <s v="Dec"/>
          <s v="&gt;01/10/2025"/>
        </groupItems>
      </fieldGroup>
    </cacheField>
    <cacheField name="Quarters (Order_Date)" numFmtId="0" databaseField="0">
      <fieldGroup base="1">
        <rangePr groupBy="quarters" startDate="2023-01-02T00:00:00" endDate="2025-10-01T00:00:00"/>
        <groupItems count="6">
          <s v="&lt;02/01/2023"/>
          <s v="Qtr1"/>
          <s v="Qtr2"/>
          <s v="Qtr3"/>
          <s v="Qtr4"/>
          <s v="&gt;01/10/2025"/>
        </groupItems>
      </fieldGroup>
    </cacheField>
    <cacheField name="Years (Order_Date)"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1555853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x v="0"/>
    <n v="49.68"/>
    <n v="0"/>
    <n v="248.4"/>
    <n v="70.400000000000006"/>
    <n v="35"/>
    <x v="0"/>
    <x v="0"/>
  </r>
  <r>
    <n v="100865"/>
    <x v="1"/>
    <s v="AD-1745-B"/>
    <x v="1"/>
    <x v="0"/>
    <x v="1"/>
    <x v="0"/>
    <x v="1"/>
    <n v="27.07"/>
    <n v="0"/>
    <n v="54.14"/>
    <n v="11.35"/>
    <n v="48"/>
    <x v="0"/>
    <x v="0"/>
  </r>
  <r>
    <n v="100101"/>
    <x v="2"/>
    <s v="AD-8110-A"/>
    <x v="2"/>
    <x v="1"/>
    <x v="0"/>
    <x v="0"/>
    <x v="2"/>
    <n v="96.58"/>
    <n v="20"/>
    <n v="231.79"/>
    <n v="61.86"/>
    <n v="34"/>
    <x v="1"/>
    <x v="1"/>
  </r>
  <r>
    <n v="100439"/>
    <x v="3"/>
    <s v="AD-4892-C"/>
    <x v="3"/>
    <x v="2"/>
    <x v="2"/>
    <x v="1"/>
    <x v="0"/>
    <n v="17.489999999999998"/>
    <n v="10"/>
    <n v="78.7"/>
    <n v="35.99"/>
    <n v="30"/>
    <x v="0"/>
    <x v="2"/>
  </r>
  <r>
    <n v="100058"/>
    <x v="4"/>
    <s v="AD-8657-B"/>
    <x v="4"/>
    <x v="2"/>
    <x v="1"/>
    <x v="1"/>
    <x v="2"/>
    <n v="58.96"/>
    <n v="5"/>
    <n v="168.04"/>
    <n v="68.38"/>
    <n v="30"/>
    <x v="0"/>
    <x v="3"/>
  </r>
  <r>
    <n v="101120"/>
    <x v="5"/>
    <s v="AD-5267-A"/>
    <x v="5"/>
    <x v="0"/>
    <x v="1"/>
    <x v="0"/>
    <x v="3"/>
    <n v="72.5"/>
    <n v="5"/>
    <n v="68.88"/>
    <n v="16.649999999999999"/>
    <n v="32"/>
    <x v="0"/>
    <x v="2"/>
  </r>
  <r>
    <n v="100323"/>
    <x v="6"/>
    <s v="AD-3735-C"/>
    <x v="6"/>
    <x v="1"/>
    <x v="0"/>
    <x v="0"/>
    <x v="4"/>
    <n v="182.16"/>
    <n v="0"/>
    <n v="728.64"/>
    <n v="227.81"/>
    <n v="29"/>
    <x v="0"/>
    <x v="0"/>
  </r>
  <r>
    <n v="100974"/>
    <x v="7"/>
    <s v="AD-7305-C"/>
    <x v="4"/>
    <x v="2"/>
    <x v="3"/>
    <x v="1"/>
    <x v="2"/>
    <n v="57.19"/>
    <n v="0"/>
    <n v="171.57"/>
    <n v="52.43"/>
    <n v="49"/>
    <x v="0"/>
    <x v="1"/>
  </r>
  <r>
    <n v="100411"/>
    <x v="8"/>
    <s v="AD-4842-A"/>
    <x v="7"/>
    <x v="1"/>
    <x v="1"/>
    <x v="0"/>
    <x v="2"/>
    <n v="152.09"/>
    <n v="10"/>
    <n v="410.64"/>
    <n v="93.96"/>
    <n v="27"/>
    <x v="0"/>
    <x v="4"/>
  </r>
  <r>
    <n v="100855"/>
    <x v="9"/>
    <s v="AD-2386-C"/>
    <x v="8"/>
    <x v="2"/>
    <x v="4"/>
    <x v="1"/>
    <x v="3"/>
    <n v="15.26"/>
    <n v="20"/>
    <n v="12.21"/>
    <n v="3.82"/>
    <n v="33"/>
    <x v="1"/>
    <x v="5"/>
  </r>
  <r>
    <n v="100820"/>
    <x v="10"/>
    <s v="AD-3148-C"/>
    <x v="3"/>
    <x v="2"/>
    <x v="4"/>
    <x v="2"/>
    <x v="3"/>
    <n v="18.61"/>
    <n v="20"/>
    <n v="14.89"/>
    <n v="6.07"/>
    <n v="25"/>
    <x v="1"/>
    <x v="5"/>
  </r>
  <r>
    <n v="100044"/>
    <x v="11"/>
    <s v="AD-2146-C"/>
    <x v="8"/>
    <x v="2"/>
    <x v="3"/>
    <x v="1"/>
    <x v="3"/>
    <n v="14.47"/>
    <n v="0"/>
    <n v="14.47"/>
    <n v="3.08"/>
    <n v="34"/>
    <x v="1"/>
    <x v="2"/>
  </r>
  <r>
    <n v="100049"/>
    <x v="12"/>
    <s v="AD-8784-A"/>
    <x v="5"/>
    <x v="0"/>
    <x v="4"/>
    <x v="0"/>
    <x v="1"/>
    <n v="64.260000000000005"/>
    <n v="0"/>
    <n v="128.52000000000001"/>
    <n v="48.57"/>
    <n v="18"/>
    <x v="1"/>
    <x v="6"/>
  </r>
  <r>
    <n v="100849"/>
    <x v="13"/>
    <s v="AD-6074-D"/>
    <x v="9"/>
    <x v="2"/>
    <x v="1"/>
    <x v="0"/>
    <x v="0"/>
    <n v="21.03"/>
    <n v="10"/>
    <n v="94.64"/>
    <n v="38.46"/>
    <n v="39"/>
    <x v="1"/>
    <x v="5"/>
  </r>
  <r>
    <n v="100240"/>
    <x v="14"/>
    <s v="AD-4836-C"/>
    <x v="5"/>
    <x v="0"/>
    <x v="0"/>
    <x v="1"/>
    <x v="1"/>
    <n v="64.45"/>
    <n v="0"/>
    <n v="128.9"/>
    <n v="40.96"/>
    <n v="42"/>
    <x v="1"/>
    <x v="0"/>
  </r>
  <r>
    <n v="100170"/>
    <x v="15"/>
    <s v="AD-4941-D"/>
    <x v="10"/>
    <x v="2"/>
    <x v="0"/>
    <x v="0"/>
    <x v="4"/>
    <n v="44.19"/>
    <n v="0"/>
    <n v="176.76"/>
    <n v="58.37"/>
    <n v="36"/>
    <x v="1"/>
    <x v="4"/>
  </r>
  <r>
    <n v="100523"/>
    <x v="16"/>
    <s v="AD-6044-C"/>
    <x v="8"/>
    <x v="2"/>
    <x v="1"/>
    <x v="1"/>
    <x v="4"/>
    <n v="13.98"/>
    <n v="5"/>
    <n v="53.12"/>
    <n v="18.21"/>
    <n v="51"/>
    <x v="0"/>
    <x v="5"/>
  </r>
  <r>
    <n v="100765"/>
    <x v="17"/>
    <s v="AD-4867-A"/>
    <x v="11"/>
    <x v="0"/>
    <x v="2"/>
    <x v="0"/>
    <x v="2"/>
    <n v="31"/>
    <n v="0"/>
    <n v="93"/>
    <n v="32.93"/>
    <n v="21"/>
    <x v="0"/>
    <x v="3"/>
  </r>
  <r>
    <n v="100838"/>
    <x v="18"/>
    <s v="AD-4954-C"/>
    <x v="8"/>
    <x v="2"/>
    <x v="1"/>
    <x v="1"/>
    <x v="1"/>
    <n v="15.85"/>
    <n v="5"/>
    <n v="30.11"/>
    <n v="12"/>
    <n v="35"/>
    <x v="1"/>
    <x v="0"/>
  </r>
  <r>
    <n v="100423"/>
    <x v="19"/>
    <s v="AD-2442-D"/>
    <x v="12"/>
    <x v="0"/>
    <x v="4"/>
    <x v="1"/>
    <x v="0"/>
    <n v="150.72999999999999"/>
    <n v="5"/>
    <n v="715.97"/>
    <n v="194.99"/>
    <n v="42"/>
    <x v="0"/>
    <x v="5"/>
  </r>
  <r>
    <n v="100380"/>
    <x v="20"/>
    <s v="AD-8259-C"/>
    <x v="9"/>
    <x v="2"/>
    <x v="0"/>
    <x v="3"/>
    <x v="1"/>
    <n v="19.09"/>
    <n v="0"/>
    <n v="38.18"/>
    <n v="15.81"/>
    <n v="30"/>
    <x v="1"/>
    <x v="0"/>
  </r>
  <r>
    <n v="100609"/>
    <x v="21"/>
    <s v="AD-2084-B"/>
    <x v="13"/>
    <x v="0"/>
    <x v="4"/>
    <x v="1"/>
    <x v="5"/>
    <n v="129.94999999999999"/>
    <n v="0"/>
    <n v="779.7"/>
    <n v="212.91"/>
    <n v="32"/>
    <x v="1"/>
    <x v="4"/>
  </r>
  <r>
    <n v="100676"/>
    <x v="22"/>
    <s v="AD-1616-B"/>
    <x v="14"/>
    <x v="1"/>
    <x v="0"/>
    <x v="1"/>
    <x v="2"/>
    <n v="226.72"/>
    <n v="20"/>
    <n v="544.13"/>
    <n v="140.88999999999999"/>
    <n v="16"/>
    <x v="1"/>
    <x v="3"/>
  </r>
  <r>
    <n v="100344"/>
    <x v="23"/>
    <s v="AD-9128-A"/>
    <x v="15"/>
    <x v="1"/>
    <x v="4"/>
    <x v="3"/>
    <x v="2"/>
    <n v="146.78"/>
    <n v="0"/>
    <n v="440.34"/>
    <n v="112.48"/>
    <n v="42"/>
    <x v="1"/>
    <x v="2"/>
  </r>
  <r>
    <n v="100109"/>
    <x v="24"/>
    <s v="AD-2591-A"/>
    <x v="11"/>
    <x v="0"/>
    <x v="4"/>
    <x v="0"/>
    <x v="2"/>
    <n v="28.99"/>
    <n v="20"/>
    <n v="69.58"/>
    <n v="18.350000000000001"/>
    <n v="37"/>
    <x v="0"/>
    <x v="3"/>
  </r>
  <r>
    <n v="100277"/>
    <x v="25"/>
    <s v="AD-9180-B"/>
    <x v="16"/>
    <x v="1"/>
    <x v="4"/>
    <x v="1"/>
    <x v="4"/>
    <n v="34.950000000000003"/>
    <n v="5"/>
    <n v="132.81"/>
    <n v="48.4"/>
    <n v="26"/>
    <x v="0"/>
    <x v="2"/>
  </r>
  <r>
    <n v="100677"/>
    <x v="26"/>
    <s v="AD-1074-B"/>
    <x v="9"/>
    <x v="2"/>
    <x v="4"/>
    <x v="2"/>
    <x v="4"/>
    <n v="22.08"/>
    <n v="0"/>
    <n v="88.32"/>
    <n v="19.61"/>
    <n v="24"/>
    <x v="1"/>
    <x v="2"/>
  </r>
  <r>
    <n v="100570"/>
    <x v="27"/>
    <s v="AD-1136-A"/>
    <x v="7"/>
    <x v="1"/>
    <x v="4"/>
    <x v="1"/>
    <x v="2"/>
    <n v="146.31"/>
    <n v="10"/>
    <n v="395.04"/>
    <n v="83.22"/>
    <n v="20"/>
    <x v="1"/>
    <x v="5"/>
  </r>
  <r>
    <n v="100358"/>
    <x v="28"/>
    <s v="AD-2705-D"/>
    <x v="17"/>
    <x v="2"/>
    <x v="0"/>
    <x v="3"/>
    <x v="3"/>
    <n v="41.79"/>
    <n v="10"/>
    <n v="37.61"/>
    <n v="11.63"/>
    <n v="29"/>
    <x v="0"/>
    <x v="6"/>
  </r>
  <r>
    <n v="100598"/>
    <x v="29"/>
    <s v="AD-8460-C"/>
    <x v="7"/>
    <x v="1"/>
    <x v="0"/>
    <x v="1"/>
    <x v="2"/>
    <n v="136.5"/>
    <n v="0"/>
    <n v="409.5"/>
    <n v="106.79"/>
    <n v="31"/>
    <x v="0"/>
    <x v="3"/>
  </r>
  <r>
    <n v="100390"/>
    <x v="18"/>
    <s v="AD-2045-C"/>
    <x v="11"/>
    <x v="0"/>
    <x v="0"/>
    <x v="0"/>
    <x v="4"/>
    <n v="28.95"/>
    <n v="0"/>
    <n v="115.8"/>
    <n v="33.4"/>
    <n v="18"/>
    <x v="0"/>
    <x v="5"/>
  </r>
  <r>
    <n v="100893"/>
    <x v="30"/>
    <s v="AD-4654-B"/>
    <x v="7"/>
    <x v="1"/>
    <x v="2"/>
    <x v="2"/>
    <x v="0"/>
    <n v="160.34"/>
    <n v="10"/>
    <n v="721.53"/>
    <n v="215.58"/>
    <n v="39"/>
    <x v="1"/>
    <x v="7"/>
  </r>
  <r>
    <n v="100692"/>
    <x v="31"/>
    <s v="AD-8452-D"/>
    <x v="2"/>
    <x v="1"/>
    <x v="0"/>
    <x v="0"/>
    <x v="2"/>
    <n v="84.09"/>
    <n v="10"/>
    <n v="227.04"/>
    <n v="53.17"/>
    <n v="30"/>
    <x v="1"/>
    <x v="7"/>
  </r>
  <r>
    <n v="100727"/>
    <x v="32"/>
    <s v="AD-6104-C"/>
    <x v="3"/>
    <x v="2"/>
    <x v="4"/>
    <x v="0"/>
    <x v="4"/>
    <n v="18.77"/>
    <n v="0"/>
    <n v="75.08"/>
    <n v="28.42"/>
    <n v="34"/>
    <x v="1"/>
    <x v="4"/>
  </r>
  <r>
    <n v="100362"/>
    <x v="33"/>
    <s v="AD-5831-A"/>
    <x v="17"/>
    <x v="2"/>
    <x v="0"/>
    <x v="0"/>
    <x v="4"/>
    <n v="39.46"/>
    <n v="0"/>
    <n v="157.84"/>
    <n v="46.87"/>
    <n v="21"/>
    <x v="1"/>
    <x v="7"/>
  </r>
  <r>
    <n v="100596"/>
    <x v="34"/>
    <s v="AD-1601-B"/>
    <x v="8"/>
    <x v="2"/>
    <x v="4"/>
    <x v="0"/>
    <x v="3"/>
    <n v="13.56"/>
    <n v="0"/>
    <n v="13.56"/>
    <n v="5.32"/>
    <n v="34"/>
    <x v="1"/>
    <x v="4"/>
  </r>
  <r>
    <n v="100427"/>
    <x v="35"/>
    <s v="AD-9973-C"/>
    <x v="18"/>
    <x v="1"/>
    <x v="4"/>
    <x v="0"/>
    <x v="1"/>
    <n v="87.17"/>
    <n v="0"/>
    <n v="174.34"/>
    <n v="55.33"/>
    <n v="26"/>
    <x v="0"/>
    <x v="0"/>
  </r>
  <r>
    <n v="100070"/>
    <x v="36"/>
    <s v="AD-1166-B"/>
    <x v="11"/>
    <x v="0"/>
    <x v="1"/>
    <x v="2"/>
    <x v="4"/>
    <n v="31.14"/>
    <n v="0"/>
    <n v="124.56"/>
    <n v="35.28"/>
    <n v="39"/>
    <x v="0"/>
    <x v="0"/>
  </r>
  <r>
    <n v="100321"/>
    <x v="37"/>
    <s v="AD-6081-D"/>
    <x v="14"/>
    <x v="1"/>
    <x v="1"/>
    <x v="1"/>
    <x v="4"/>
    <n v="233.68"/>
    <n v="0"/>
    <n v="934.72"/>
    <n v="328.49"/>
    <n v="19"/>
    <x v="0"/>
    <x v="1"/>
  </r>
  <r>
    <n v="100652"/>
    <x v="38"/>
    <s v="AD-4193-C"/>
    <x v="1"/>
    <x v="0"/>
    <x v="4"/>
    <x v="1"/>
    <x v="2"/>
    <n v="27.31"/>
    <n v="0"/>
    <n v="81.93"/>
    <n v="29.76"/>
    <n v="30"/>
    <x v="1"/>
    <x v="6"/>
  </r>
  <r>
    <n v="101065"/>
    <x v="39"/>
    <s v="AD-6247-B"/>
    <x v="2"/>
    <x v="1"/>
    <x v="2"/>
    <x v="3"/>
    <x v="6"/>
    <n v="95.23"/>
    <n v="0"/>
    <n v="666.61"/>
    <n v="186.65"/>
    <n v="24"/>
    <x v="0"/>
    <x v="3"/>
  </r>
  <r>
    <n v="100107"/>
    <x v="40"/>
    <s v="AD-7484-C"/>
    <x v="5"/>
    <x v="0"/>
    <x v="1"/>
    <x v="0"/>
    <x v="1"/>
    <n v="70.5"/>
    <n v="5"/>
    <n v="133.94999999999999"/>
    <n v="41.43"/>
    <n v="42"/>
    <x v="0"/>
    <x v="7"/>
  </r>
  <r>
    <n v="101108"/>
    <x v="41"/>
    <s v="AD-8517-D"/>
    <x v="11"/>
    <x v="0"/>
    <x v="1"/>
    <x v="3"/>
    <x v="0"/>
    <n v="34.01"/>
    <n v="0"/>
    <n v="170.05"/>
    <n v="38.42"/>
    <n v="16"/>
    <x v="1"/>
    <x v="3"/>
  </r>
  <r>
    <n v="100355"/>
    <x v="42"/>
    <s v="AD-6285-B"/>
    <x v="2"/>
    <x v="1"/>
    <x v="3"/>
    <x v="0"/>
    <x v="1"/>
    <n v="97.13"/>
    <n v="5"/>
    <n v="184.55"/>
    <n v="50.99"/>
    <n v="29"/>
    <x v="1"/>
    <x v="0"/>
  </r>
  <r>
    <n v="100950"/>
    <x v="43"/>
    <s v="AD-7524-D"/>
    <x v="3"/>
    <x v="2"/>
    <x v="4"/>
    <x v="2"/>
    <x v="6"/>
    <n v="16.89"/>
    <n v="0"/>
    <n v="118.23"/>
    <n v="46.38"/>
    <n v="22"/>
    <x v="1"/>
    <x v="4"/>
  </r>
  <r>
    <n v="100342"/>
    <x v="44"/>
    <s v="AD-2376-C"/>
    <x v="15"/>
    <x v="1"/>
    <x v="3"/>
    <x v="0"/>
    <x v="4"/>
    <n v="128.36000000000001"/>
    <n v="0"/>
    <n v="513.44000000000005"/>
    <n v="113.36"/>
    <n v="26"/>
    <x v="0"/>
    <x v="4"/>
  </r>
  <r>
    <n v="100354"/>
    <x v="26"/>
    <s v="AD-2817-C"/>
    <x v="7"/>
    <x v="1"/>
    <x v="2"/>
    <x v="0"/>
    <x v="1"/>
    <n v="172.35"/>
    <n v="0"/>
    <n v="344.7"/>
    <n v="131.25"/>
    <n v="29"/>
    <x v="1"/>
    <x v="3"/>
  </r>
  <r>
    <n v="100023"/>
    <x v="45"/>
    <s v="AD-1828-A"/>
    <x v="3"/>
    <x v="2"/>
    <x v="2"/>
    <x v="0"/>
    <x v="2"/>
    <n v="19.079999999999998"/>
    <n v="20"/>
    <n v="45.79"/>
    <n v="19.61"/>
    <n v="41"/>
    <x v="0"/>
    <x v="1"/>
  </r>
  <r>
    <n v="100043"/>
    <x v="46"/>
    <s v="AD-8144-A"/>
    <x v="19"/>
    <x v="1"/>
    <x v="4"/>
    <x v="2"/>
    <x v="0"/>
    <n v="123.22"/>
    <n v="0"/>
    <n v="616.1"/>
    <n v="217.11"/>
    <n v="24"/>
    <x v="1"/>
    <x v="7"/>
  </r>
  <r>
    <n v="100243"/>
    <x v="47"/>
    <s v="AD-7688-B"/>
    <x v="11"/>
    <x v="0"/>
    <x v="0"/>
    <x v="1"/>
    <x v="4"/>
    <n v="30.87"/>
    <n v="0"/>
    <n v="123.48"/>
    <n v="26.64"/>
    <n v="22"/>
    <x v="1"/>
    <x v="2"/>
  </r>
  <r>
    <n v="100737"/>
    <x v="48"/>
    <s v="AD-8486-C"/>
    <x v="0"/>
    <x v="0"/>
    <x v="4"/>
    <x v="0"/>
    <x v="1"/>
    <n v="56.88"/>
    <n v="0"/>
    <n v="113.76"/>
    <n v="35.369999999999997"/>
    <n v="23"/>
    <x v="1"/>
    <x v="0"/>
  </r>
  <r>
    <n v="101135"/>
    <x v="49"/>
    <s v="AD-2225-D"/>
    <x v="2"/>
    <x v="1"/>
    <x v="0"/>
    <x v="1"/>
    <x v="1"/>
    <n v="99.59"/>
    <n v="5"/>
    <n v="189.22"/>
    <n v="63.97"/>
    <n v="36"/>
    <x v="1"/>
    <x v="0"/>
  </r>
  <r>
    <n v="100367"/>
    <x v="50"/>
    <s v="AD-3798-C"/>
    <x v="0"/>
    <x v="0"/>
    <x v="0"/>
    <x v="1"/>
    <x v="4"/>
    <n v="54.87"/>
    <n v="0"/>
    <n v="219.48"/>
    <n v="49.53"/>
    <n v="24"/>
    <x v="1"/>
    <x v="6"/>
  </r>
  <r>
    <n v="100163"/>
    <x v="51"/>
    <s v="AD-5670-A"/>
    <x v="9"/>
    <x v="2"/>
    <x v="0"/>
    <x v="0"/>
    <x v="3"/>
    <n v="23.03"/>
    <n v="0"/>
    <n v="23.03"/>
    <n v="8.06"/>
    <n v="32"/>
    <x v="0"/>
    <x v="1"/>
  </r>
  <r>
    <n v="101115"/>
    <x v="52"/>
    <s v="AD-1845-D"/>
    <x v="17"/>
    <x v="2"/>
    <x v="4"/>
    <x v="3"/>
    <x v="0"/>
    <n v="38.71"/>
    <n v="0"/>
    <n v="193.55"/>
    <n v="41.29"/>
    <n v="18"/>
    <x v="1"/>
    <x v="2"/>
  </r>
  <r>
    <n v="100332"/>
    <x v="53"/>
    <s v="AD-6488-A"/>
    <x v="4"/>
    <x v="2"/>
    <x v="1"/>
    <x v="1"/>
    <x v="2"/>
    <n v="60.91"/>
    <n v="10"/>
    <n v="164.46"/>
    <n v="65.8"/>
    <n v="41"/>
    <x v="0"/>
    <x v="7"/>
  </r>
  <r>
    <n v="100988"/>
    <x v="54"/>
    <s v="AD-1353-D"/>
    <x v="9"/>
    <x v="2"/>
    <x v="4"/>
    <x v="2"/>
    <x v="1"/>
    <n v="19.41"/>
    <n v="0"/>
    <n v="38.82"/>
    <n v="9.3800000000000008"/>
    <n v="24"/>
    <x v="0"/>
    <x v="3"/>
  </r>
  <r>
    <n v="101172"/>
    <x v="55"/>
    <s v="AD-5764-B"/>
    <x v="2"/>
    <x v="1"/>
    <x v="4"/>
    <x v="1"/>
    <x v="1"/>
    <n v="82.12"/>
    <n v="0"/>
    <n v="164.24"/>
    <n v="57.54"/>
    <n v="51"/>
    <x v="1"/>
    <x v="1"/>
  </r>
  <r>
    <n v="101001"/>
    <x v="5"/>
    <s v="AD-9292-C"/>
    <x v="7"/>
    <x v="1"/>
    <x v="4"/>
    <x v="1"/>
    <x v="2"/>
    <n v="131.82"/>
    <n v="10"/>
    <n v="355.91"/>
    <n v="114.03"/>
    <n v="32"/>
    <x v="1"/>
    <x v="1"/>
  </r>
  <r>
    <n v="100377"/>
    <x v="56"/>
    <s v="AD-1613-B"/>
    <x v="8"/>
    <x v="2"/>
    <x v="2"/>
    <x v="0"/>
    <x v="1"/>
    <n v="15"/>
    <n v="0"/>
    <n v="30"/>
    <n v="9.56"/>
    <n v="24"/>
    <x v="0"/>
    <x v="5"/>
  </r>
  <r>
    <n v="100309"/>
    <x v="57"/>
    <s v="AD-2494-A"/>
    <x v="7"/>
    <x v="1"/>
    <x v="0"/>
    <x v="1"/>
    <x v="4"/>
    <n v="151.44999999999999"/>
    <n v="10"/>
    <n v="545.22"/>
    <n v="165.42"/>
    <n v="36"/>
    <x v="0"/>
    <x v="2"/>
  </r>
  <r>
    <n v="100155"/>
    <x v="58"/>
    <s v="AD-2388-C"/>
    <x v="14"/>
    <x v="1"/>
    <x v="1"/>
    <x v="1"/>
    <x v="1"/>
    <n v="210.8"/>
    <n v="0"/>
    <n v="421.6"/>
    <n v="98.14"/>
    <n v="22"/>
    <x v="0"/>
    <x v="3"/>
  </r>
  <r>
    <n v="100210"/>
    <x v="59"/>
    <s v="AD-2020-B"/>
    <x v="6"/>
    <x v="1"/>
    <x v="1"/>
    <x v="0"/>
    <x v="2"/>
    <n v="166.49"/>
    <n v="5"/>
    <n v="474.5"/>
    <n v="157.63999999999999"/>
    <n v="25"/>
    <x v="1"/>
    <x v="5"/>
  </r>
  <r>
    <n v="100086"/>
    <x v="60"/>
    <s v="AD-5415-A"/>
    <x v="2"/>
    <x v="1"/>
    <x v="0"/>
    <x v="2"/>
    <x v="4"/>
    <n v="91.09"/>
    <n v="20"/>
    <n v="291.49"/>
    <n v="72.010000000000005"/>
    <n v="25"/>
    <x v="0"/>
    <x v="7"/>
  </r>
  <r>
    <n v="100168"/>
    <x v="61"/>
    <s v="AD-5720-B"/>
    <x v="16"/>
    <x v="1"/>
    <x v="1"/>
    <x v="1"/>
    <x v="2"/>
    <n v="37.99"/>
    <n v="0"/>
    <n v="113.97"/>
    <n v="40.85"/>
    <n v="27"/>
    <x v="1"/>
    <x v="1"/>
  </r>
  <r>
    <n v="100994"/>
    <x v="62"/>
    <s v="AD-7498-D"/>
    <x v="4"/>
    <x v="2"/>
    <x v="0"/>
    <x v="0"/>
    <x v="1"/>
    <n v="56.14"/>
    <n v="0"/>
    <n v="112.28"/>
    <n v="38.53"/>
    <n v="17"/>
    <x v="1"/>
    <x v="6"/>
  </r>
  <r>
    <n v="100051"/>
    <x v="63"/>
    <s v="AD-3881-D"/>
    <x v="6"/>
    <x v="1"/>
    <x v="2"/>
    <x v="2"/>
    <x v="1"/>
    <n v="193.1"/>
    <n v="0"/>
    <n v="386.2"/>
    <n v="111.95"/>
    <n v="30"/>
    <x v="0"/>
    <x v="6"/>
  </r>
  <r>
    <n v="100438"/>
    <x v="64"/>
    <s v="AD-4342-A"/>
    <x v="7"/>
    <x v="1"/>
    <x v="0"/>
    <x v="0"/>
    <x v="1"/>
    <n v="168.9"/>
    <n v="0"/>
    <n v="337.8"/>
    <n v="115.68"/>
    <n v="17"/>
    <x v="1"/>
    <x v="0"/>
  </r>
  <r>
    <n v="100549"/>
    <x v="42"/>
    <s v="AD-3931-D"/>
    <x v="10"/>
    <x v="2"/>
    <x v="0"/>
    <x v="1"/>
    <x v="4"/>
    <n v="43.59"/>
    <n v="10"/>
    <n v="156.91999999999999"/>
    <n v="58.82"/>
    <n v="28"/>
    <x v="1"/>
    <x v="6"/>
  </r>
  <r>
    <n v="100490"/>
    <x v="65"/>
    <s v="AD-1941-B"/>
    <x v="11"/>
    <x v="0"/>
    <x v="4"/>
    <x v="0"/>
    <x v="4"/>
    <n v="29.52"/>
    <n v="10"/>
    <n v="106.27"/>
    <n v="29.71"/>
    <n v="33"/>
    <x v="2"/>
    <x v="0"/>
  </r>
  <r>
    <n v="100425"/>
    <x v="66"/>
    <s v="AD-8474-C"/>
    <x v="2"/>
    <x v="1"/>
    <x v="3"/>
    <x v="1"/>
    <x v="1"/>
    <n v="91.8"/>
    <n v="0"/>
    <n v="183.6"/>
    <n v="31.17"/>
    <n v="31"/>
    <x v="0"/>
    <x v="6"/>
  </r>
  <r>
    <n v="100135"/>
    <x v="67"/>
    <s v="AD-7566-A"/>
    <x v="1"/>
    <x v="0"/>
    <x v="1"/>
    <x v="0"/>
    <x v="1"/>
    <n v="24.81"/>
    <n v="0"/>
    <n v="49.62"/>
    <n v="13.78"/>
    <n v="38"/>
    <x v="1"/>
    <x v="3"/>
  </r>
  <r>
    <n v="101191"/>
    <x v="45"/>
    <s v="AD-3955-C"/>
    <x v="0"/>
    <x v="0"/>
    <x v="4"/>
    <x v="2"/>
    <x v="0"/>
    <n v="54.27"/>
    <n v="0"/>
    <n v="271.35000000000002"/>
    <n v="74.099999999999994"/>
    <n v="17"/>
    <x v="1"/>
    <x v="5"/>
  </r>
  <r>
    <n v="100054"/>
    <x v="68"/>
    <s v="AD-9849-A"/>
    <x v="5"/>
    <x v="0"/>
    <x v="4"/>
    <x v="0"/>
    <x v="3"/>
    <n v="74.959999999999994"/>
    <n v="40"/>
    <n v="44.98"/>
    <n v="11.34"/>
    <n v="25"/>
    <x v="1"/>
    <x v="4"/>
  </r>
  <r>
    <n v="100078"/>
    <x v="69"/>
    <s v="AD-2395-B"/>
    <x v="9"/>
    <x v="2"/>
    <x v="0"/>
    <x v="0"/>
    <x v="4"/>
    <n v="24.67"/>
    <n v="10"/>
    <n v="88.81"/>
    <n v="31.25"/>
    <n v="19"/>
    <x v="1"/>
    <x v="0"/>
  </r>
  <r>
    <n v="100430"/>
    <x v="70"/>
    <s v="AD-8493-B"/>
    <x v="4"/>
    <x v="2"/>
    <x v="0"/>
    <x v="1"/>
    <x v="1"/>
    <n v="63.2"/>
    <n v="10"/>
    <n v="113.76"/>
    <n v="41.22"/>
    <n v="39"/>
    <x v="1"/>
    <x v="5"/>
  </r>
  <r>
    <n v="100184"/>
    <x v="71"/>
    <s v="AD-5288-C"/>
    <x v="18"/>
    <x v="1"/>
    <x v="4"/>
    <x v="1"/>
    <x v="1"/>
    <n v="75.760000000000005"/>
    <n v="10"/>
    <n v="136.37"/>
    <n v="38.76"/>
    <n v="17"/>
    <x v="0"/>
    <x v="1"/>
  </r>
  <r>
    <n v="100056"/>
    <x v="72"/>
    <s v="AD-7232-D"/>
    <x v="15"/>
    <x v="1"/>
    <x v="1"/>
    <x v="2"/>
    <x v="2"/>
    <n v="154.34"/>
    <n v="20"/>
    <n v="370.42"/>
    <n v="121.89"/>
    <n v="35"/>
    <x v="0"/>
    <x v="7"/>
  </r>
  <r>
    <n v="100942"/>
    <x v="73"/>
    <s v="AD-6060-B"/>
    <x v="17"/>
    <x v="2"/>
    <x v="4"/>
    <x v="0"/>
    <x v="4"/>
    <n v="36.04"/>
    <n v="0"/>
    <n v="144.16"/>
    <n v="60.23"/>
    <n v="35"/>
    <x v="0"/>
    <x v="1"/>
  </r>
  <r>
    <n v="100850"/>
    <x v="74"/>
    <s v="AD-9270-D"/>
    <x v="13"/>
    <x v="0"/>
    <x v="1"/>
    <x v="1"/>
    <x v="1"/>
    <n v="109.53"/>
    <n v="0"/>
    <n v="219.06"/>
    <n v="71.78"/>
    <n v="31"/>
    <x v="0"/>
    <x v="3"/>
  </r>
  <r>
    <n v="101163"/>
    <x v="75"/>
    <s v="AD-9484-D"/>
    <x v="9"/>
    <x v="2"/>
    <x v="1"/>
    <x v="2"/>
    <x v="2"/>
    <n v="23.8"/>
    <n v="40"/>
    <n v="42.84"/>
    <n v="21.01"/>
    <n v="44"/>
    <x v="1"/>
    <x v="4"/>
  </r>
  <r>
    <n v="100218"/>
    <x v="76"/>
    <s v="AD-7666-D"/>
    <x v="4"/>
    <x v="2"/>
    <x v="1"/>
    <x v="1"/>
    <x v="1"/>
    <n v="55.24"/>
    <n v="5"/>
    <n v="104.96"/>
    <n v="18.82"/>
    <n v="43"/>
    <x v="1"/>
    <x v="3"/>
  </r>
  <r>
    <n v="100844"/>
    <x v="77"/>
    <s v="AD-8210-D"/>
    <x v="8"/>
    <x v="2"/>
    <x v="1"/>
    <x v="0"/>
    <x v="2"/>
    <n v="15.38"/>
    <n v="0"/>
    <n v="46.14"/>
    <n v="14.62"/>
    <n v="35"/>
    <x v="1"/>
    <x v="2"/>
  </r>
  <r>
    <n v="100113"/>
    <x v="78"/>
    <s v="AD-2479-D"/>
    <x v="5"/>
    <x v="0"/>
    <x v="0"/>
    <x v="3"/>
    <x v="4"/>
    <n v="76.989999999999995"/>
    <n v="0"/>
    <n v="307.95999999999998"/>
    <n v="66.06"/>
    <n v="23"/>
    <x v="0"/>
    <x v="4"/>
  </r>
  <r>
    <n v="100548"/>
    <x v="79"/>
    <s v="AD-2276-B"/>
    <x v="15"/>
    <x v="1"/>
    <x v="4"/>
    <x v="0"/>
    <x v="3"/>
    <n v="136.94"/>
    <n v="0"/>
    <n v="136.94"/>
    <n v="32.32"/>
    <n v="16"/>
    <x v="1"/>
    <x v="0"/>
  </r>
  <r>
    <n v="101018"/>
    <x v="80"/>
    <s v="AD-1227-B"/>
    <x v="9"/>
    <x v="2"/>
    <x v="3"/>
    <x v="2"/>
    <x v="4"/>
    <n v="22.74"/>
    <n v="0"/>
    <n v="90.96"/>
    <n v="32.31"/>
    <n v="24"/>
    <x v="0"/>
    <x v="2"/>
  </r>
  <r>
    <n v="101072"/>
    <x v="81"/>
    <s v="AD-7184-A"/>
    <x v="16"/>
    <x v="1"/>
    <x v="4"/>
    <x v="0"/>
    <x v="1"/>
    <n v="32.85"/>
    <n v="0"/>
    <n v="65.7"/>
    <n v="17.73"/>
    <n v="26"/>
    <x v="0"/>
    <x v="3"/>
  </r>
  <r>
    <n v="100174"/>
    <x v="82"/>
    <s v="AD-4302-A"/>
    <x v="7"/>
    <x v="1"/>
    <x v="4"/>
    <x v="1"/>
    <x v="2"/>
    <n v="161.69999999999999"/>
    <n v="0"/>
    <n v="485.1"/>
    <n v="128.55000000000001"/>
    <n v="32"/>
    <x v="1"/>
    <x v="0"/>
  </r>
  <r>
    <n v="101022"/>
    <x v="83"/>
    <s v="AD-9446-A"/>
    <x v="0"/>
    <x v="0"/>
    <x v="4"/>
    <x v="1"/>
    <x v="1"/>
    <n v="59.29"/>
    <n v="40"/>
    <n v="71.150000000000006"/>
    <n v="25.9"/>
    <n v="21"/>
    <x v="1"/>
    <x v="0"/>
  </r>
  <r>
    <n v="100615"/>
    <x v="84"/>
    <s v="AD-6460-D"/>
    <x v="12"/>
    <x v="0"/>
    <x v="1"/>
    <x v="0"/>
    <x v="2"/>
    <n v="149.82"/>
    <n v="0"/>
    <n v="449.46"/>
    <n v="118.22"/>
    <n v="25"/>
    <x v="0"/>
    <x v="1"/>
  </r>
  <r>
    <n v="100513"/>
    <x v="85"/>
    <s v="AD-5663-C"/>
    <x v="18"/>
    <x v="1"/>
    <x v="0"/>
    <x v="1"/>
    <x v="5"/>
    <n v="94.05"/>
    <n v="5"/>
    <n v="536.08000000000004"/>
    <n v="131.25"/>
    <n v="27"/>
    <x v="0"/>
    <x v="3"/>
  </r>
  <r>
    <n v="100461"/>
    <x v="86"/>
    <s v="AD-6182-D"/>
    <x v="3"/>
    <x v="2"/>
    <x v="0"/>
    <x v="1"/>
    <x v="2"/>
    <n v="18.68"/>
    <n v="5"/>
    <n v="53.24"/>
    <n v="22.85"/>
    <n v="35"/>
    <x v="1"/>
    <x v="4"/>
  </r>
  <r>
    <n v="100286"/>
    <x v="87"/>
    <s v="AD-4053-D"/>
    <x v="7"/>
    <x v="1"/>
    <x v="1"/>
    <x v="1"/>
    <x v="2"/>
    <n v="172.13"/>
    <n v="5"/>
    <n v="490.57"/>
    <n v="163.9"/>
    <n v="24"/>
    <x v="0"/>
    <x v="3"/>
  </r>
  <r>
    <n v="100381"/>
    <x v="88"/>
    <s v="AD-8937-C"/>
    <x v="4"/>
    <x v="2"/>
    <x v="4"/>
    <x v="0"/>
    <x v="4"/>
    <n v="64.819999999999993"/>
    <n v="0"/>
    <n v="259.27999999999997"/>
    <n v="65.5"/>
    <n v="36"/>
    <x v="0"/>
    <x v="2"/>
  </r>
  <r>
    <n v="101007"/>
    <x v="89"/>
    <s v="AD-7876-B"/>
    <x v="16"/>
    <x v="1"/>
    <x v="0"/>
    <x v="1"/>
    <x v="2"/>
    <n v="36.51"/>
    <n v="0"/>
    <n v="109.53"/>
    <n v="37.47"/>
    <n v="30"/>
    <x v="1"/>
    <x v="3"/>
  </r>
  <r>
    <n v="100670"/>
    <x v="81"/>
    <s v="AD-8474-B"/>
    <x v="14"/>
    <x v="1"/>
    <x v="0"/>
    <x v="2"/>
    <x v="1"/>
    <n v="207.35"/>
    <n v="10"/>
    <n v="373.23"/>
    <n v="82.8"/>
    <n v="40"/>
    <x v="0"/>
    <x v="1"/>
  </r>
  <r>
    <n v="100534"/>
    <x v="90"/>
    <s v="AD-9534-A"/>
    <x v="16"/>
    <x v="1"/>
    <x v="0"/>
    <x v="0"/>
    <x v="2"/>
    <n v="33.51"/>
    <n v="5"/>
    <n v="95.5"/>
    <n v="30.96"/>
    <n v="27"/>
    <x v="1"/>
    <x v="7"/>
  </r>
  <r>
    <n v="100909"/>
    <x v="91"/>
    <s v="AD-6468-B"/>
    <x v="1"/>
    <x v="0"/>
    <x v="4"/>
    <x v="0"/>
    <x v="1"/>
    <n v="25.83"/>
    <n v="0"/>
    <n v="51.66"/>
    <n v="11.22"/>
    <n v="23"/>
    <x v="1"/>
    <x v="6"/>
  </r>
  <r>
    <n v="100292"/>
    <x v="92"/>
    <s v="AD-3733-D"/>
    <x v="7"/>
    <x v="1"/>
    <x v="1"/>
    <x v="2"/>
    <x v="4"/>
    <n v="159.65"/>
    <n v="5"/>
    <n v="606.66999999999996"/>
    <n v="235.76"/>
    <n v="22"/>
    <x v="0"/>
    <x v="3"/>
  </r>
  <r>
    <n v="100123"/>
    <x v="93"/>
    <s v="AD-6304-A"/>
    <x v="7"/>
    <x v="1"/>
    <x v="2"/>
    <x v="0"/>
    <x v="4"/>
    <n v="159.31"/>
    <n v="10"/>
    <n v="573.52"/>
    <n v="164.35"/>
    <n v="21"/>
    <x v="1"/>
    <x v="6"/>
  </r>
  <r>
    <n v="100582"/>
    <x v="94"/>
    <s v="AD-7126-B"/>
    <x v="6"/>
    <x v="1"/>
    <x v="0"/>
    <x v="1"/>
    <x v="3"/>
    <n v="173.04"/>
    <n v="5"/>
    <n v="164.39"/>
    <n v="44.29"/>
    <n v="27"/>
    <x v="1"/>
    <x v="5"/>
  </r>
  <r>
    <n v="100140"/>
    <x v="95"/>
    <s v="AD-2965-A"/>
    <x v="16"/>
    <x v="1"/>
    <x v="4"/>
    <x v="0"/>
    <x v="3"/>
    <n v="36.07"/>
    <n v="5"/>
    <n v="34.270000000000003"/>
    <n v="6.22"/>
    <n v="34"/>
    <x v="1"/>
    <x v="4"/>
  </r>
  <r>
    <n v="100735"/>
    <x v="96"/>
    <s v="AD-7948-B"/>
    <x v="17"/>
    <x v="2"/>
    <x v="0"/>
    <x v="0"/>
    <x v="0"/>
    <n v="42.11"/>
    <n v="20"/>
    <n v="168.44"/>
    <n v="51.47"/>
    <n v="23"/>
    <x v="0"/>
    <x v="2"/>
  </r>
  <r>
    <n v="100081"/>
    <x v="97"/>
    <s v="AD-8699-C"/>
    <x v="2"/>
    <x v="1"/>
    <x v="4"/>
    <x v="0"/>
    <x v="2"/>
    <n v="105.4"/>
    <n v="20"/>
    <n v="252.96"/>
    <n v="54"/>
    <n v="41"/>
    <x v="1"/>
    <x v="5"/>
  </r>
  <r>
    <n v="100881"/>
    <x v="98"/>
    <s v="AD-8759-B"/>
    <x v="6"/>
    <x v="1"/>
    <x v="0"/>
    <x v="0"/>
    <x v="4"/>
    <n v="187.89"/>
    <n v="0"/>
    <n v="751.56"/>
    <n v="230.22"/>
    <n v="20"/>
    <x v="1"/>
    <x v="1"/>
  </r>
  <r>
    <n v="100739"/>
    <x v="99"/>
    <s v="AD-2953-B"/>
    <x v="6"/>
    <x v="1"/>
    <x v="1"/>
    <x v="0"/>
    <x v="0"/>
    <n v="176.55"/>
    <n v="0"/>
    <n v="882.75"/>
    <n v="279.52999999999997"/>
    <n v="31"/>
    <x v="1"/>
    <x v="1"/>
  </r>
  <r>
    <n v="101101"/>
    <x v="100"/>
    <s v="AD-3695-B"/>
    <x v="1"/>
    <x v="0"/>
    <x v="4"/>
    <x v="2"/>
    <x v="3"/>
    <n v="25.42"/>
    <n v="20"/>
    <n v="20.34"/>
    <n v="4.04"/>
    <n v="39"/>
    <x v="1"/>
    <x v="0"/>
  </r>
  <r>
    <n v="100908"/>
    <x v="101"/>
    <s v="AD-5825-A"/>
    <x v="6"/>
    <x v="1"/>
    <x v="4"/>
    <x v="1"/>
    <x v="1"/>
    <n v="181.59"/>
    <n v="20"/>
    <n v="290.54000000000002"/>
    <n v="96.12"/>
    <n v="24"/>
    <x v="1"/>
    <x v="1"/>
  </r>
  <r>
    <n v="101166"/>
    <x v="102"/>
    <s v="AD-9632-B"/>
    <x v="18"/>
    <x v="1"/>
    <x v="2"/>
    <x v="1"/>
    <x v="1"/>
    <n v="74.08"/>
    <n v="0"/>
    <n v="148.16"/>
    <n v="37.58"/>
    <n v="41"/>
    <x v="0"/>
    <x v="5"/>
  </r>
  <r>
    <n v="100936"/>
    <x v="103"/>
    <s v="AD-4105-B"/>
    <x v="7"/>
    <x v="1"/>
    <x v="4"/>
    <x v="1"/>
    <x v="1"/>
    <n v="170.34"/>
    <n v="0"/>
    <n v="340.68"/>
    <n v="87.76"/>
    <n v="16"/>
    <x v="0"/>
    <x v="4"/>
  </r>
  <r>
    <n v="100371"/>
    <x v="104"/>
    <s v="AD-4860-D"/>
    <x v="17"/>
    <x v="2"/>
    <x v="4"/>
    <x v="0"/>
    <x v="2"/>
    <n v="39.229999999999997"/>
    <n v="20"/>
    <n v="94.15"/>
    <n v="24.67"/>
    <n v="18"/>
    <x v="1"/>
    <x v="5"/>
  </r>
  <r>
    <n v="100889"/>
    <x v="105"/>
    <s v="AD-3415-D"/>
    <x v="17"/>
    <x v="2"/>
    <x v="3"/>
    <x v="1"/>
    <x v="4"/>
    <n v="40.94"/>
    <n v="5"/>
    <n v="155.57"/>
    <n v="37.51"/>
    <n v="35"/>
    <x v="1"/>
    <x v="3"/>
  </r>
  <r>
    <n v="100156"/>
    <x v="106"/>
    <s v="AD-7937-C"/>
    <x v="12"/>
    <x v="0"/>
    <x v="1"/>
    <x v="0"/>
    <x v="3"/>
    <n v="128.75"/>
    <n v="0"/>
    <n v="128.75"/>
    <n v="30.12"/>
    <n v="16"/>
    <x v="0"/>
    <x v="1"/>
  </r>
  <r>
    <n v="100991"/>
    <x v="107"/>
    <s v="AD-4573-B"/>
    <x v="7"/>
    <x v="1"/>
    <x v="1"/>
    <x v="1"/>
    <x v="0"/>
    <n v="157.84"/>
    <n v="0"/>
    <n v="789.2"/>
    <n v="266.93"/>
    <n v="22"/>
    <x v="0"/>
    <x v="6"/>
  </r>
  <r>
    <n v="100621"/>
    <x v="108"/>
    <s v="AD-8629-B"/>
    <x v="11"/>
    <x v="0"/>
    <x v="0"/>
    <x v="1"/>
    <x v="2"/>
    <n v="35.47"/>
    <n v="5"/>
    <n v="101.09"/>
    <n v="28.29"/>
    <n v="25"/>
    <x v="0"/>
    <x v="1"/>
  </r>
  <r>
    <n v="101037"/>
    <x v="109"/>
    <s v="AD-4473-C"/>
    <x v="13"/>
    <x v="0"/>
    <x v="4"/>
    <x v="0"/>
    <x v="1"/>
    <n v="121.14"/>
    <n v="0"/>
    <n v="242.28"/>
    <n v="77.25"/>
    <n v="16"/>
    <x v="0"/>
    <x v="4"/>
  </r>
  <r>
    <n v="100244"/>
    <x v="110"/>
    <s v="AD-8586-A"/>
    <x v="12"/>
    <x v="0"/>
    <x v="1"/>
    <x v="0"/>
    <x v="4"/>
    <n v="132.11000000000001"/>
    <n v="20"/>
    <n v="422.75"/>
    <n v="112.31"/>
    <n v="47"/>
    <x v="1"/>
    <x v="3"/>
  </r>
  <r>
    <n v="100158"/>
    <x v="111"/>
    <s v="AD-6517-B"/>
    <x v="2"/>
    <x v="1"/>
    <x v="0"/>
    <x v="1"/>
    <x v="2"/>
    <n v="112.55"/>
    <n v="5"/>
    <n v="320.77"/>
    <n v="85.58"/>
    <n v="31"/>
    <x v="1"/>
    <x v="7"/>
  </r>
  <r>
    <n v="100745"/>
    <x v="112"/>
    <s v="AD-8635-B"/>
    <x v="0"/>
    <x v="0"/>
    <x v="4"/>
    <x v="0"/>
    <x v="1"/>
    <n v="51.59"/>
    <n v="0"/>
    <n v="103.18"/>
    <n v="16.66"/>
    <n v="36"/>
    <x v="0"/>
    <x v="5"/>
  </r>
  <r>
    <n v="100192"/>
    <x v="113"/>
    <s v="AD-9740-A"/>
    <x v="2"/>
    <x v="1"/>
    <x v="0"/>
    <x v="1"/>
    <x v="5"/>
    <n v="108.77"/>
    <n v="40"/>
    <n v="391.57"/>
    <n v="124.48"/>
    <n v="30"/>
    <x v="1"/>
    <x v="0"/>
  </r>
  <r>
    <n v="100533"/>
    <x v="37"/>
    <s v="AD-8550-A"/>
    <x v="5"/>
    <x v="0"/>
    <x v="3"/>
    <x v="0"/>
    <x v="2"/>
    <n v="64.42"/>
    <n v="5"/>
    <n v="183.6"/>
    <n v="64.400000000000006"/>
    <n v="31"/>
    <x v="2"/>
    <x v="6"/>
  </r>
  <r>
    <n v="100903"/>
    <x v="114"/>
    <s v="AD-3932-C"/>
    <x v="10"/>
    <x v="2"/>
    <x v="2"/>
    <x v="1"/>
    <x v="3"/>
    <n v="45.52"/>
    <n v="5"/>
    <n v="43.24"/>
    <n v="16.05"/>
    <n v="34"/>
    <x v="1"/>
    <x v="5"/>
  </r>
  <r>
    <n v="101003"/>
    <x v="115"/>
    <s v="AD-9818-B"/>
    <x v="8"/>
    <x v="2"/>
    <x v="0"/>
    <x v="1"/>
    <x v="2"/>
    <n v="12.65"/>
    <n v="5"/>
    <n v="36.049999999999997"/>
    <n v="12.05"/>
    <n v="22"/>
    <x v="1"/>
    <x v="4"/>
  </r>
  <r>
    <n v="101069"/>
    <x v="116"/>
    <s v="AD-2429-B"/>
    <x v="8"/>
    <x v="2"/>
    <x v="1"/>
    <x v="1"/>
    <x v="3"/>
    <n v="15.32"/>
    <n v="0"/>
    <n v="15.32"/>
    <n v="5.97"/>
    <n v="33"/>
    <x v="1"/>
    <x v="6"/>
  </r>
  <r>
    <n v="100413"/>
    <x v="117"/>
    <s v="AD-8606-A"/>
    <x v="18"/>
    <x v="1"/>
    <x v="0"/>
    <x v="1"/>
    <x v="1"/>
    <n v="87.26"/>
    <n v="0"/>
    <n v="174.52"/>
    <n v="46.1"/>
    <n v="31"/>
    <x v="0"/>
    <x v="0"/>
  </r>
  <r>
    <n v="101186"/>
    <x v="118"/>
    <s v="AD-5742-A"/>
    <x v="5"/>
    <x v="0"/>
    <x v="0"/>
    <x v="1"/>
    <x v="0"/>
    <n v="65.42"/>
    <n v="20"/>
    <n v="261.68"/>
    <n v="107.88"/>
    <n v="26"/>
    <x v="1"/>
    <x v="0"/>
  </r>
  <r>
    <n v="100327"/>
    <x v="119"/>
    <s v="AD-7870-B"/>
    <x v="15"/>
    <x v="1"/>
    <x v="1"/>
    <x v="0"/>
    <x v="3"/>
    <n v="172.06"/>
    <n v="5"/>
    <n v="163.46"/>
    <n v="33.630000000000003"/>
    <n v="27"/>
    <x v="0"/>
    <x v="7"/>
  </r>
  <r>
    <n v="100128"/>
    <x v="120"/>
    <s v="AD-8046-D"/>
    <x v="10"/>
    <x v="2"/>
    <x v="4"/>
    <x v="1"/>
    <x v="3"/>
    <n v="41"/>
    <n v="0"/>
    <n v="41"/>
    <n v="18.559999999999999"/>
    <n v="33"/>
    <x v="0"/>
    <x v="6"/>
  </r>
  <r>
    <n v="100694"/>
    <x v="121"/>
    <s v="AD-2326-C"/>
    <x v="13"/>
    <x v="0"/>
    <x v="4"/>
    <x v="1"/>
    <x v="2"/>
    <n v="105.09"/>
    <n v="0"/>
    <n v="315.27"/>
    <n v="121.3"/>
    <n v="33"/>
    <x v="0"/>
    <x v="6"/>
  </r>
  <r>
    <n v="100630"/>
    <x v="122"/>
    <s v="AD-3403-B"/>
    <x v="15"/>
    <x v="1"/>
    <x v="0"/>
    <x v="2"/>
    <x v="4"/>
    <n v="149.07"/>
    <n v="10"/>
    <n v="536.65"/>
    <n v="128.91999999999999"/>
    <n v="27"/>
    <x v="0"/>
    <x v="7"/>
  </r>
  <r>
    <n v="100274"/>
    <x v="123"/>
    <s v="AD-3910-D"/>
    <x v="19"/>
    <x v="1"/>
    <x v="1"/>
    <x v="3"/>
    <x v="1"/>
    <n v="138.44999999999999"/>
    <n v="10"/>
    <n v="249.21"/>
    <n v="81.96"/>
    <n v="33"/>
    <x v="1"/>
    <x v="4"/>
  </r>
  <r>
    <n v="101147"/>
    <x v="47"/>
    <s v="AD-8989-A"/>
    <x v="9"/>
    <x v="2"/>
    <x v="4"/>
    <x v="0"/>
    <x v="4"/>
    <n v="22.37"/>
    <n v="10"/>
    <n v="80.53"/>
    <n v="21.97"/>
    <n v="18"/>
    <x v="0"/>
    <x v="6"/>
  </r>
  <r>
    <n v="100308"/>
    <x v="124"/>
    <s v="AD-2350-C"/>
    <x v="0"/>
    <x v="0"/>
    <x v="3"/>
    <x v="0"/>
    <x v="2"/>
    <n v="60.76"/>
    <n v="20"/>
    <n v="145.82"/>
    <n v="35.86"/>
    <n v="37"/>
    <x v="0"/>
    <x v="0"/>
  </r>
  <r>
    <n v="100233"/>
    <x v="125"/>
    <s v="AD-2044-A"/>
    <x v="1"/>
    <x v="0"/>
    <x v="0"/>
    <x v="1"/>
    <x v="1"/>
    <n v="28.25"/>
    <n v="0"/>
    <n v="56.5"/>
    <n v="20.77"/>
    <n v="16"/>
    <x v="1"/>
    <x v="4"/>
  </r>
  <r>
    <n v="101047"/>
    <x v="73"/>
    <s v="AD-3803-B"/>
    <x v="10"/>
    <x v="2"/>
    <x v="2"/>
    <x v="0"/>
    <x v="4"/>
    <n v="46.38"/>
    <n v="40"/>
    <n v="111.31"/>
    <n v="39.92"/>
    <n v="27"/>
    <x v="1"/>
    <x v="1"/>
  </r>
  <r>
    <n v="100622"/>
    <x v="12"/>
    <s v="AD-4796-B"/>
    <x v="3"/>
    <x v="2"/>
    <x v="1"/>
    <x v="1"/>
    <x v="0"/>
    <n v="16.43"/>
    <n v="10"/>
    <n v="73.94"/>
    <n v="28.72"/>
    <n v="23"/>
    <x v="0"/>
    <x v="5"/>
  </r>
  <r>
    <n v="100643"/>
    <x v="126"/>
    <s v="AD-2006-D"/>
    <x v="0"/>
    <x v="0"/>
    <x v="4"/>
    <x v="3"/>
    <x v="2"/>
    <n v="57.22"/>
    <n v="5"/>
    <n v="163.08000000000001"/>
    <n v="47.09"/>
    <n v="25"/>
    <x v="0"/>
    <x v="0"/>
  </r>
  <r>
    <n v="100478"/>
    <x v="114"/>
    <s v="AD-2778-A"/>
    <x v="13"/>
    <x v="0"/>
    <x v="0"/>
    <x v="0"/>
    <x v="4"/>
    <n v="99.92"/>
    <n v="0"/>
    <n v="399.68"/>
    <n v="145.79"/>
    <n v="30"/>
    <x v="1"/>
    <x v="3"/>
  </r>
  <r>
    <n v="100471"/>
    <x v="127"/>
    <s v="AD-4651-D"/>
    <x v="12"/>
    <x v="0"/>
    <x v="0"/>
    <x v="2"/>
    <x v="4"/>
    <n v="146.13"/>
    <n v="5"/>
    <n v="555.29"/>
    <n v="158.34"/>
    <n v="16"/>
    <x v="1"/>
    <x v="2"/>
  </r>
  <r>
    <n v="100925"/>
    <x v="72"/>
    <s v="AD-2565-D"/>
    <x v="5"/>
    <x v="0"/>
    <x v="0"/>
    <x v="0"/>
    <x v="0"/>
    <n v="68.62"/>
    <n v="20"/>
    <n v="274.48"/>
    <n v="76.91"/>
    <n v="39"/>
    <x v="1"/>
    <x v="3"/>
  </r>
  <r>
    <n v="101097"/>
    <x v="128"/>
    <s v="AD-2873-C"/>
    <x v="13"/>
    <x v="0"/>
    <x v="1"/>
    <x v="1"/>
    <x v="2"/>
    <n v="126.03"/>
    <n v="10"/>
    <n v="340.28"/>
    <n v="49.88"/>
    <n v="25"/>
    <x v="1"/>
    <x v="5"/>
  </r>
  <r>
    <n v="100626"/>
    <x v="69"/>
    <s v="AD-2082-C"/>
    <x v="17"/>
    <x v="2"/>
    <x v="0"/>
    <x v="1"/>
    <x v="2"/>
    <n v="32.78"/>
    <n v="5"/>
    <n v="93.42"/>
    <n v="23.12"/>
    <n v="33"/>
    <x v="0"/>
    <x v="2"/>
  </r>
  <r>
    <n v="100394"/>
    <x v="129"/>
    <s v="AD-9311-C"/>
    <x v="5"/>
    <x v="0"/>
    <x v="0"/>
    <x v="1"/>
    <x v="4"/>
    <n v="65.13"/>
    <n v="0"/>
    <n v="260.52"/>
    <n v="90.54"/>
    <n v="27"/>
    <x v="0"/>
    <x v="4"/>
  </r>
  <r>
    <n v="100636"/>
    <x v="130"/>
    <s v="AD-8155-B"/>
    <x v="14"/>
    <x v="1"/>
    <x v="4"/>
    <x v="0"/>
    <x v="2"/>
    <n v="228.65"/>
    <n v="10"/>
    <n v="617.36"/>
    <n v="202.8"/>
    <n v="34"/>
    <x v="0"/>
    <x v="5"/>
  </r>
  <r>
    <n v="100767"/>
    <x v="131"/>
    <s v="AD-4865-D"/>
    <x v="19"/>
    <x v="1"/>
    <x v="0"/>
    <x v="0"/>
    <x v="0"/>
    <n v="121.9"/>
    <n v="10"/>
    <n v="548.54999999999995"/>
    <n v="197.81"/>
    <n v="26"/>
    <x v="0"/>
    <x v="2"/>
  </r>
  <r>
    <n v="100532"/>
    <x v="132"/>
    <s v="AD-1206-A"/>
    <x v="12"/>
    <x v="0"/>
    <x v="1"/>
    <x v="0"/>
    <x v="0"/>
    <n v="133.19"/>
    <n v="10"/>
    <n v="599.36"/>
    <n v="148.43"/>
    <n v="27"/>
    <x v="0"/>
    <x v="2"/>
  </r>
  <r>
    <n v="100717"/>
    <x v="133"/>
    <s v="AD-4264-B"/>
    <x v="6"/>
    <x v="1"/>
    <x v="2"/>
    <x v="0"/>
    <x v="2"/>
    <n v="164.39"/>
    <n v="5"/>
    <n v="468.51"/>
    <n v="126.16"/>
    <n v="24"/>
    <x v="0"/>
    <x v="3"/>
  </r>
  <r>
    <n v="100666"/>
    <x v="134"/>
    <s v="AD-9015-D"/>
    <x v="3"/>
    <x v="2"/>
    <x v="4"/>
    <x v="0"/>
    <x v="2"/>
    <n v="14.85"/>
    <n v="0"/>
    <n v="44.55"/>
    <n v="18.43"/>
    <n v="37"/>
    <x v="0"/>
    <x v="6"/>
  </r>
  <r>
    <n v="100597"/>
    <x v="135"/>
    <s v="AD-2784-D"/>
    <x v="15"/>
    <x v="1"/>
    <x v="2"/>
    <x v="0"/>
    <x v="4"/>
    <n v="163.38999999999999"/>
    <n v="0"/>
    <n v="653.55999999999995"/>
    <n v="153.12"/>
    <n v="44"/>
    <x v="0"/>
    <x v="7"/>
  </r>
  <r>
    <n v="100481"/>
    <x v="136"/>
    <s v="AD-9553-D"/>
    <x v="19"/>
    <x v="1"/>
    <x v="4"/>
    <x v="3"/>
    <x v="2"/>
    <n v="116.64"/>
    <n v="0"/>
    <n v="349.92"/>
    <n v="99.73"/>
    <n v="29"/>
    <x v="0"/>
    <x v="2"/>
  </r>
  <r>
    <n v="101102"/>
    <x v="137"/>
    <s v="AD-6811-D"/>
    <x v="4"/>
    <x v="2"/>
    <x v="1"/>
    <x v="1"/>
    <x v="2"/>
    <n v="62.34"/>
    <n v="5"/>
    <n v="177.67"/>
    <n v="80.61"/>
    <n v="16"/>
    <x v="0"/>
    <x v="2"/>
  </r>
  <r>
    <n v="100314"/>
    <x v="138"/>
    <s v="AD-6759-D"/>
    <x v="16"/>
    <x v="1"/>
    <x v="4"/>
    <x v="1"/>
    <x v="3"/>
    <n v="36.619999999999997"/>
    <n v="10"/>
    <n v="32.96"/>
    <n v="10.42"/>
    <n v="23"/>
    <x v="0"/>
    <x v="2"/>
  </r>
  <r>
    <n v="100728"/>
    <x v="139"/>
    <s v="AD-1471-A"/>
    <x v="3"/>
    <x v="2"/>
    <x v="0"/>
    <x v="1"/>
    <x v="5"/>
    <n v="16.850000000000001"/>
    <n v="0"/>
    <n v="101.1"/>
    <n v="19.86"/>
    <n v="33"/>
    <x v="1"/>
    <x v="0"/>
  </r>
  <r>
    <n v="100209"/>
    <x v="140"/>
    <s v="AD-1517-A"/>
    <x v="10"/>
    <x v="2"/>
    <x v="0"/>
    <x v="2"/>
    <x v="4"/>
    <n v="46.63"/>
    <n v="0"/>
    <n v="186.52"/>
    <n v="50.18"/>
    <n v="33"/>
    <x v="1"/>
    <x v="6"/>
  </r>
  <r>
    <n v="100933"/>
    <x v="141"/>
    <s v="AD-7399-C"/>
    <x v="15"/>
    <x v="1"/>
    <x v="0"/>
    <x v="1"/>
    <x v="4"/>
    <n v="160.63999999999999"/>
    <n v="0"/>
    <n v="642.55999999999995"/>
    <n v="185.67"/>
    <n v="30"/>
    <x v="0"/>
    <x v="1"/>
  </r>
  <r>
    <n v="100433"/>
    <x v="142"/>
    <s v="AD-8419-B"/>
    <x v="19"/>
    <x v="1"/>
    <x v="0"/>
    <x v="0"/>
    <x v="1"/>
    <n v="144.58000000000001"/>
    <n v="0"/>
    <n v="289.16000000000003"/>
    <n v="96.15"/>
    <n v="17"/>
    <x v="0"/>
    <x v="0"/>
  </r>
  <r>
    <n v="100328"/>
    <x v="143"/>
    <s v="AD-2956-A"/>
    <x v="5"/>
    <x v="0"/>
    <x v="0"/>
    <x v="0"/>
    <x v="2"/>
    <n v="61"/>
    <n v="5"/>
    <n v="173.85"/>
    <n v="56.81"/>
    <n v="37"/>
    <x v="1"/>
    <x v="4"/>
  </r>
  <r>
    <n v="100260"/>
    <x v="144"/>
    <s v="AD-4764-B"/>
    <x v="4"/>
    <x v="2"/>
    <x v="1"/>
    <x v="3"/>
    <x v="2"/>
    <n v="65.61"/>
    <n v="0"/>
    <n v="196.83"/>
    <n v="53.06"/>
    <n v="41"/>
    <x v="0"/>
    <x v="7"/>
  </r>
  <r>
    <n v="101116"/>
    <x v="145"/>
    <s v="AD-4784-A"/>
    <x v="12"/>
    <x v="0"/>
    <x v="4"/>
    <x v="2"/>
    <x v="1"/>
    <n v="141.53"/>
    <n v="0"/>
    <n v="283.06"/>
    <n v="79.69"/>
    <n v="24"/>
    <x v="1"/>
    <x v="2"/>
  </r>
  <r>
    <n v="100306"/>
    <x v="146"/>
    <s v="AD-1752-A"/>
    <x v="17"/>
    <x v="2"/>
    <x v="2"/>
    <x v="1"/>
    <x v="1"/>
    <n v="41.02"/>
    <n v="10"/>
    <n v="73.84"/>
    <n v="24.2"/>
    <n v="29"/>
    <x v="0"/>
    <x v="7"/>
  </r>
  <r>
    <n v="101066"/>
    <x v="147"/>
    <s v="AD-5562-B"/>
    <x v="3"/>
    <x v="2"/>
    <x v="0"/>
    <x v="1"/>
    <x v="3"/>
    <n v="17.850000000000001"/>
    <n v="0"/>
    <n v="17.850000000000001"/>
    <n v="6.66"/>
    <n v="25"/>
    <x v="1"/>
    <x v="2"/>
  </r>
  <r>
    <n v="100927"/>
    <x v="148"/>
    <s v="AD-9264-C"/>
    <x v="9"/>
    <x v="2"/>
    <x v="0"/>
    <x v="0"/>
    <x v="2"/>
    <n v="24.11"/>
    <n v="5"/>
    <n v="68.709999999999994"/>
    <n v="20.82"/>
    <n v="33"/>
    <x v="1"/>
    <x v="1"/>
  </r>
  <r>
    <n v="101024"/>
    <x v="149"/>
    <s v="AD-8058-D"/>
    <x v="18"/>
    <x v="1"/>
    <x v="2"/>
    <x v="0"/>
    <x v="1"/>
    <n v="87"/>
    <n v="10"/>
    <n v="156.6"/>
    <n v="48.93"/>
    <n v="42"/>
    <x v="1"/>
    <x v="1"/>
  </r>
  <r>
    <n v="100270"/>
    <x v="150"/>
    <s v="AD-9537-B"/>
    <x v="12"/>
    <x v="0"/>
    <x v="0"/>
    <x v="1"/>
    <x v="2"/>
    <n v="133.34"/>
    <n v="0"/>
    <n v="400.02"/>
    <n v="81.25"/>
    <n v="28"/>
    <x v="2"/>
    <x v="6"/>
  </r>
  <r>
    <n v="100290"/>
    <x v="151"/>
    <s v="AD-3194-C"/>
    <x v="3"/>
    <x v="2"/>
    <x v="0"/>
    <x v="1"/>
    <x v="2"/>
    <n v="18.2"/>
    <n v="0"/>
    <n v="54.6"/>
    <n v="11.26"/>
    <n v="38"/>
    <x v="1"/>
    <x v="1"/>
  </r>
  <r>
    <n v="100812"/>
    <x v="152"/>
    <s v="AD-4083-A"/>
    <x v="12"/>
    <x v="0"/>
    <x v="4"/>
    <x v="0"/>
    <x v="2"/>
    <n v="145.30000000000001"/>
    <n v="0"/>
    <n v="435.9"/>
    <n v="105.17"/>
    <n v="36"/>
    <x v="1"/>
    <x v="7"/>
  </r>
  <r>
    <n v="100096"/>
    <x v="153"/>
    <s v="AD-4090-B"/>
    <x v="8"/>
    <x v="2"/>
    <x v="1"/>
    <x v="1"/>
    <x v="3"/>
    <n v="14.47"/>
    <n v="5"/>
    <n v="13.75"/>
    <n v="6.06"/>
    <n v="22"/>
    <x v="1"/>
    <x v="4"/>
  </r>
  <r>
    <n v="100887"/>
    <x v="154"/>
    <s v="AD-3064-C"/>
    <x v="16"/>
    <x v="1"/>
    <x v="4"/>
    <x v="1"/>
    <x v="1"/>
    <n v="31.96"/>
    <n v="10"/>
    <n v="57.53"/>
    <n v="20.43"/>
    <n v="27"/>
    <x v="0"/>
    <x v="6"/>
  </r>
  <r>
    <n v="100818"/>
    <x v="155"/>
    <s v="AD-8755-A"/>
    <x v="6"/>
    <x v="1"/>
    <x v="1"/>
    <x v="0"/>
    <x v="2"/>
    <n v="164.27"/>
    <n v="5"/>
    <n v="468.17"/>
    <n v="143.62"/>
    <n v="30"/>
    <x v="0"/>
    <x v="2"/>
  </r>
  <r>
    <n v="100031"/>
    <x v="156"/>
    <s v="AD-2127-B"/>
    <x v="17"/>
    <x v="2"/>
    <x v="4"/>
    <x v="0"/>
    <x v="5"/>
    <n v="36.380000000000003"/>
    <n v="0"/>
    <n v="218.28"/>
    <n v="51.1"/>
    <n v="23"/>
    <x v="1"/>
    <x v="4"/>
  </r>
  <r>
    <n v="100762"/>
    <x v="157"/>
    <s v="AD-8952-D"/>
    <x v="5"/>
    <x v="0"/>
    <x v="4"/>
    <x v="0"/>
    <x v="2"/>
    <n v="67.83"/>
    <n v="10"/>
    <n v="183.14"/>
    <n v="47.92"/>
    <n v="27"/>
    <x v="0"/>
    <x v="5"/>
  </r>
  <r>
    <n v="100953"/>
    <x v="158"/>
    <s v="AD-8688-B"/>
    <x v="0"/>
    <x v="0"/>
    <x v="1"/>
    <x v="1"/>
    <x v="4"/>
    <n v="55.8"/>
    <n v="5"/>
    <n v="212.04"/>
    <n v="65.12"/>
    <n v="20"/>
    <x v="1"/>
    <x v="3"/>
  </r>
  <r>
    <n v="100319"/>
    <x v="159"/>
    <s v="AD-9209-D"/>
    <x v="1"/>
    <x v="0"/>
    <x v="2"/>
    <x v="3"/>
    <x v="2"/>
    <n v="27.45"/>
    <n v="20"/>
    <n v="65.88"/>
    <n v="13.79"/>
    <n v="39"/>
    <x v="1"/>
    <x v="0"/>
  </r>
  <r>
    <n v="100298"/>
    <x v="160"/>
    <s v="AD-4438-C"/>
    <x v="1"/>
    <x v="0"/>
    <x v="0"/>
    <x v="0"/>
    <x v="1"/>
    <n v="26.59"/>
    <n v="5"/>
    <n v="50.52"/>
    <n v="10.34"/>
    <n v="33"/>
    <x v="2"/>
    <x v="6"/>
  </r>
  <r>
    <n v="100199"/>
    <x v="161"/>
    <s v="AD-9171-C"/>
    <x v="13"/>
    <x v="0"/>
    <x v="0"/>
    <x v="0"/>
    <x v="3"/>
    <n v="127.46"/>
    <n v="0"/>
    <n v="127.46"/>
    <n v="39.47"/>
    <n v="32"/>
    <x v="1"/>
    <x v="5"/>
  </r>
  <r>
    <n v="100560"/>
    <x v="16"/>
    <s v="AD-1827-D"/>
    <x v="15"/>
    <x v="1"/>
    <x v="0"/>
    <x v="0"/>
    <x v="0"/>
    <n v="154.01"/>
    <n v="5"/>
    <n v="731.55"/>
    <n v="213.79"/>
    <n v="26"/>
    <x v="0"/>
    <x v="3"/>
  </r>
  <r>
    <n v="100178"/>
    <x v="162"/>
    <s v="AD-9937-C"/>
    <x v="10"/>
    <x v="2"/>
    <x v="4"/>
    <x v="0"/>
    <x v="2"/>
    <n v="40.39"/>
    <n v="40"/>
    <n v="72.7"/>
    <n v="28.43"/>
    <n v="29"/>
    <x v="1"/>
    <x v="3"/>
  </r>
  <r>
    <n v="101131"/>
    <x v="24"/>
    <s v="AD-8363-B"/>
    <x v="12"/>
    <x v="0"/>
    <x v="0"/>
    <x v="0"/>
    <x v="0"/>
    <n v="148.16"/>
    <n v="5"/>
    <n v="703.76"/>
    <n v="201.68"/>
    <n v="26"/>
    <x v="0"/>
    <x v="1"/>
  </r>
  <r>
    <n v="100088"/>
    <x v="163"/>
    <s v="AD-9117-C"/>
    <x v="11"/>
    <x v="0"/>
    <x v="1"/>
    <x v="0"/>
    <x v="2"/>
    <n v="28.67"/>
    <n v="5"/>
    <n v="81.709999999999994"/>
    <n v="17.010000000000002"/>
    <n v="34"/>
    <x v="1"/>
    <x v="2"/>
  </r>
  <r>
    <n v="100787"/>
    <x v="148"/>
    <s v="AD-1087-C"/>
    <x v="11"/>
    <x v="0"/>
    <x v="3"/>
    <x v="3"/>
    <x v="1"/>
    <n v="30.36"/>
    <n v="0"/>
    <n v="60.72"/>
    <n v="10.79"/>
    <n v="30"/>
    <x v="0"/>
    <x v="7"/>
  </r>
  <r>
    <n v="100724"/>
    <x v="164"/>
    <s v="AD-6180-C"/>
    <x v="16"/>
    <x v="1"/>
    <x v="4"/>
    <x v="0"/>
    <x v="1"/>
    <n v="35.39"/>
    <n v="0"/>
    <n v="70.78"/>
    <n v="24.76"/>
    <n v="21"/>
    <x v="0"/>
    <x v="4"/>
  </r>
  <r>
    <n v="100826"/>
    <x v="165"/>
    <s v="AD-2734-A"/>
    <x v="15"/>
    <x v="1"/>
    <x v="1"/>
    <x v="1"/>
    <x v="4"/>
    <n v="148.62"/>
    <n v="0"/>
    <n v="594.48"/>
    <n v="166.9"/>
    <n v="21"/>
    <x v="0"/>
    <x v="1"/>
  </r>
  <r>
    <n v="100208"/>
    <x v="166"/>
    <s v="AD-1841-D"/>
    <x v="9"/>
    <x v="2"/>
    <x v="0"/>
    <x v="3"/>
    <x v="2"/>
    <n v="23.29"/>
    <n v="40"/>
    <n v="41.92"/>
    <n v="13.6"/>
    <n v="31"/>
    <x v="0"/>
    <x v="6"/>
  </r>
  <r>
    <n v="101039"/>
    <x v="167"/>
    <s v="AD-6920-C"/>
    <x v="18"/>
    <x v="1"/>
    <x v="0"/>
    <x v="1"/>
    <x v="4"/>
    <n v="88.19"/>
    <n v="0"/>
    <n v="352.76"/>
    <n v="102.78"/>
    <n v="35"/>
    <x v="1"/>
    <x v="4"/>
  </r>
  <r>
    <n v="100296"/>
    <x v="168"/>
    <s v="AD-5389-C"/>
    <x v="3"/>
    <x v="2"/>
    <x v="0"/>
    <x v="1"/>
    <x v="2"/>
    <n v="18.149999999999999"/>
    <n v="0"/>
    <n v="54.45"/>
    <n v="13.66"/>
    <n v="30"/>
    <x v="1"/>
    <x v="1"/>
  </r>
  <r>
    <n v="100997"/>
    <x v="169"/>
    <s v="AD-5888-B"/>
    <x v="18"/>
    <x v="1"/>
    <x v="4"/>
    <x v="1"/>
    <x v="1"/>
    <n v="73.12"/>
    <n v="0"/>
    <n v="146.24"/>
    <n v="45.75"/>
    <n v="39"/>
    <x v="0"/>
    <x v="2"/>
  </r>
  <r>
    <n v="100497"/>
    <x v="170"/>
    <s v="AD-8548-A"/>
    <x v="3"/>
    <x v="2"/>
    <x v="0"/>
    <x v="1"/>
    <x v="2"/>
    <n v="17.920000000000002"/>
    <n v="0"/>
    <n v="53.76"/>
    <n v="19.989999999999998"/>
    <n v="22"/>
    <x v="0"/>
    <x v="5"/>
  </r>
  <r>
    <n v="100834"/>
    <x v="171"/>
    <s v="AD-6638-A"/>
    <x v="12"/>
    <x v="0"/>
    <x v="0"/>
    <x v="2"/>
    <x v="1"/>
    <n v="154.19999999999999"/>
    <n v="0"/>
    <n v="308.39999999999998"/>
    <n v="91.69"/>
    <n v="17"/>
    <x v="0"/>
    <x v="4"/>
  </r>
  <r>
    <n v="100429"/>
    <x v="172"/>
    <s v="AD-6536-A"/>
    <x v="16"/>
    <x v="1"/>
    <x v="3"/>
    <x v="0"/>
    <x v="3"/>
    <n v="32.9"/>
    <n v="20"/>
    <n v="26.32"/>
    <n v="8.7899999999999991"/>
    <n v="20"/>
    <x v="1"/>
    <x v="6"/>
  </r>
  <r>
    <n v="100506"/>
    <x v="44"/>
    <s v="AD-9987-C"/>
    <x v="16"/>
    <x v="1"/>
    <x v="4"/>
    <x v="0"/>
    <x v="5"/>
    <n v="40.630000000000003"/>
    <n v="5"/>
    <n v="231.59"/>
    <n v="81.33"/>
    <n v="23"/>
    <x v="0"/>
    <x v="3"/>
  </r>
  <r>
    <n v="100830"/>
    <x v="173"/>
    <s v="AD-3483-D"/>
    <x v="7"/>
    <x v="1"/>
    <x v="1"/>
    <x v="1"/>
    <x v="1"/>
    <n v="158.38999999999999"/>
    <n v="10"/>
    <n v="285.10000000000002"/>
    <n v="99.32"/>
    <n v="37"/>
    <x v="1"/>
    <x v="6"/>
  </r>
  <r>
    <n v="100693"/>
    <x v="174"/>
    <s v="AD-1022-A"/>
    <x v="14"/>
    <x v="1"/>
    <x v="1"/>
    <x v="1"/>
    <x v="1"/>
    <n v="238.44"/>
    <n v="0"/>
    <n v="476.88"/>
    <n v="148.19"/>
    <n v="25"/>
    <x v="1"/>
    <x v="5"/>
  </r>
  <r>
    <n v="100010"/>
    <x v="175"/>
    <s v="AD-7916-A"/>
    <x v="14"/>
    <x v="1"/>
    <x v="4"/>
    <x v="0"/>
    <x v="3"/>
    <n v="225.7"/>
    <n v="0"/>
    <n v="225.7"/>
    <n v="63.36"/>
    <n v="34"/>
    <x v="1"/>
    <x v="3"/>
  </r>
  <r>
    <n v="100847"/>
    <x v="9"/>
    <s v="AD-5968-C"/>
    <x v="11"/>
    <x v="0"/>
    <x v="4"/>
    <x v="0"/>
    <x v="1"/>
    <n v="29.15"/>
    <n v="0"/>
    <n v="58.3"/>
    <n v="12.32"/>
    <n v="34"/>
    <x v="1"/>
    <x v="4"/>
  </r>
  <r>
    <n v="100462"/>
    <x v="168"/>
    <s v="AD-6889-B"/>
    <x v="6"/>
    <x v="1"/>
    <x v="0"/>
    <x v="1"/>
    <x v="3"/>
    <n v="182.22"/>
    <n v="5"/>
    <n v="173.11"/>
    <n v="66.75"/>
    <n v="35"/>
    <x v="0"/>
    <x v="0"/>
  </r>
  <r>
    <n v="100198"/>
    <x v="23"/>
    <s v="AD-5067-B"/>
    <x v="1"/>
    <x v="0"/>
    <x v="4"/>
    <x v="0"/>
    <x v="2"/>
    <n v="26.3"/>
    <n v="5"/>
    <n v="74.95"/>
    <n v="13.9"/>
    <n v="41"/>
    <x v="0"/>
    <x v="2"/>
  </r>
  <r>
    <n v="100059"/>
    <x v="176"/>
    <s v="AD-3223-D"/>
    <x v="8"/>
    <x v="2"/>
    <x v="1"/>
    <x v="1"/>
    <x v="4"/>
    <n v="16.12"/>
    <n v="10"/>
    <n v="58.03"/>
    <n v="18.05"/>
    <n v="25"/>
    <x v="1"/>
    <x v="2"/>
  </r>
  <r>
    <n v="100906"/>
    <x v="177"/>
    <s v="AD-1674-D"/>
    <x v="8"/>
    <x v="2"/>
    <x v="0"/>
    <x v="0"/>
    <x v="2"/>
    <n v="16.399999999999999"/>
    <n v="10"/>
    <n v="44.28"/>
    <n v="16.260000000000002"/>
    <n v="32"/>
    <x v="1"/>
    <x v="6"/>
  </r>
  <r>
    <n v="100996"/>
    <x v="178"/>
    <s v="AD-1377-D"/>
    <x v="3"/>
    <x v="2"/>
    <x v="4"/>
    <x v="0"/>
    <x v="0"/>
    <n v="18.25"/>
    <n v="5"/>
    <n v="86.69"/>
    <n v="22.75"/>
    <n v="33"/>
    <x v="1"/>
    <x v="6"/>
  </r>
  <r>
    <n v="100275"/>
    <x v="179"/>
    <s v="AD-6339-D"/>
    <x v="13"/>
    <x v="0"/>
    <x v="0"/>
    <x v="1"/>
    <x v="4"/>
    <n v="126.95"/>
    <n v="5"/>
    <n v="482.41"/>
    <n v="187.5"/>
    <n v="34"/>
    <x v="0"/>
    <x v="6"/>
  </r>
  <r>
    <n v="100808"/>
    <x v="35"/>
    <s v="AD-6143-D"/>
    <x v="3"/>
    <x v="2"/>
    <x v="4"/>
    <x v="0"/>
    <x v="0"/>
    <n v="20.21"/>
    <n v="20"/>
    <n v="80.84"/>
    <n v="26.86"/>
    <n v="31"/>
    <x v="1"/>
    <x v="0"/>
  </r>
  <r>
    <n v="100907"/>
    <x v="180"/>
    <s v="AD-6194-C"/>
    <x v="19"/>
    <x v="1"/>
    <x v="1"/>
    <x v="0"/>
    <x v="1"/>
    <n v="134.09"/>
    <n v="5"/>
    <n v="254.77"/>
    <n v="106.21"/>
    <n v="28"/>
    <x v="1"/>
    <x v="5"/>
  </r>
  <r>
    <n v="100657"/>
    <x v="22"/>
    <s v="AD-6450-A"/>
    <x v="13"/>
    <x v="0"/>
    <x v="0"/>
    <x v="0"/>
    <x v="2"/>
    <n v="124.07"/>
    <n v="40"/>
    <n v="223.33"/>
    <n v="64.64"/>
    <n v="30"/>
    <x v="1"/>
    <x v="2"/>
  </r>
  <r>
    <n v="100956"/>
    <x v="53"/>
    <s v="AD-9349-D"/>
    <x v="17"/>
    <x v="2"/>
    <x v="0"/>
    <x v="3"/>
    <x v="5"/>
    <n v="43.29"/>
    <n v="20"/>
    <n v="207.79"/>
    <n v="75.87"/>
    <n v="21"/>
    <x v="0"/>
    <x v="4"/>
  </r>
  <r>
    <n v="100885"/>
    <x v="181"/>
    <s v="AD-8428-D"/>
    <x v="12"/>
    <x v="0"/>
    <x v="0"/>
    <x v="0"/>
    <x v="2"/>
    <n v="129.22999999999999"/>
    <n v="5"/>
    <n v="368.31"/>
    <n v="85.65"/>
    <n v="30"/>
    <x v="0"/>
    <x v="7"/>
  </r>
  <r>
    <n v="100220"/>
    <x v="182"/>
    <s v="AD-9116-B"/>
    <x v="7"/>
    <x v="1"/>
    <x v="2"/>
    <x v="3"/>
    <x v="1"/>
    <n v="154.19"/>
    <n v="5"/>
    <n v="292.95999999999998"/>
    <n v="87.6"/>
    <n v="41"/>
    <x v="1"/>
    <x v="2"/>
  </r>
  <r>
    <n v="100788"/>
    <x v="183"/>
    <s v="AD-3938-C"/>
    <x v="19"/>
    <x v="1"/>
    <x v="3"/>
    <x v="1"/>
    <x v="4"/>
    <n v="123.96"/>
    <n v="5"/>
    <n v="471.05"/>
    <n v="135.24"/>
    <n v="36"/>
    <x v="1"/>
    <x v="7"/>
  </r>
  <r>
    <n v="100711"/>
    <x v="2"/>
    <s v="AD-5553-B"/>
    <x v="5"/>
    <x v="0"/>
    <x v="4"/>
    <x v="0"/>
    <x v="2"/>
    <n v="72.88"/>
    <n v="5"/>
    <n v="207.71"/>
    <n v="68.010000000000005"/>
    <n v="40"/>
    <x v="0"/>
    <x v="6"/>
  </r>
  <r>
    <n v="100713"/>
    <x v="184"/>
    <s v="AD-8006-C"/>
    <x v="19"/>
    <x v="1"/>
    <x v="3"/>
    <x v="2"/>
    <x v="3"/>
    <n v="111.35"/>
    <n v="0"/>
    <n v="111.35"/>
    <n v="32.659999999999997"/>
    <n v="33"/>
    <x v="1"/>
    <x v="3"/>
  </r>
  <r>
    <n v="101112"/>
    <x v="185"/>
    <s v="AD-1124-C"/>
    <x v="18"/>
    <x v="1"/>
    <x v="0"/>
    <x v="1"/>
    <x v="1"/>
    <n v="93.03"/>
    <n v="5"/>
    <n v="176.76"/>
    <n v="56.59"/>
    <n v="30"/>
    <x v="0"/>
    <x v="2"/>
  </r>
  <r>
    <n v="101190"/>
    <x v="137"/>
    <s v="AD-8528-B"/>
    <x v="10"/>
    <x v="2"/>
    <x v="4"/>
    <x v="1"/>
    <x v="3"/>
    <n v="46.08"/>
    <n v="5"/>
    <n v="43.78"/>
    <n v="12.68"/>
    <n v="28"/>
    <x v="1"/>
    <x v="4"/>
  </r>
  <r>
    <n v="100789"/>
    <x v="186"/>
    <s v="AD-3323-C"/>
    <x v="10"/>
    <x v="2"/>
    <x v="1"/>
    <x v="1"/>
    <x v="3"/>
    <n v="45.53"/>
    <n v="5"/>
    <n v="43.25"/>
    <n v="14.41"/>
    <n v="34"/>
    <x v="1"/>
    <x v="2"/>
  </r>
  <r>
    <n v="100415"/>
    <x v="28"/>
    <s v="AD-5395-A"/>
    <x v="15"/>
    <x v="1"/>
    <x v="4"/>
    <x v="1"/>
    <x v="2"/>
    <n v="156.87"/>
    <n v="10"/>
    <n v="423.55"/>
    <n v="165.28"/>
    <n v="28"/>
    <x v="1"/>
    <x v="5"/>
  </r>
  <r>
    <n v="100898"/>
    <x v="187"/>
    <s v="AD-6544-B"/>
    <x v="18"/>
    <x v="1"/>
    <x v="0"/>
    <x v="0"/>
    <x v="2"/>
    <n v="79.150000000000006"/>
    <n v="10"/>
    <n v="213.71"/>
    <n v="55.45"/>
    <n v="41"/>
    <x v="0"/>
    <x v="1"/>
  </r>
  <r>
    <n v="100934"/>
    <x v="188"/>
    <s v="AD-7138-B"/>
    <x v="15"/>
    <x v="1"/>
    <x v="4"/>
    <x v="0"/>
    <x v="2"/>
    <n v="152.31"/>
    <n v="0"/>
    <n v="456.93"/>
    <n v="191.73"/>
    <n v="22"/>
    <x v="1"/>
    <x v="6"/>
  </r>
  <r>
    <n v="100265"/>
    <x v="189"/>
    <s v="AD-8075-B"/>
    <x v="1"/>
    <x v="0"/>
    <x v="1"/>
    <x v="0"/>
    <x v="1"/>
    <n v="27.32"/>
    <n v="0"/>
    <n v="54.64"/>
    <n v="16.23"/>
    <n v="24"/>
    <x v="0"/>
    <x v="2"/>
  </r>
  <r>
    <n v="100631"/>
    <x v="190"/>
    <s v="AD-5910-C"/>
    <x v="8"/>
    <x v="2"/>
    <x v="0"/>
    <x v="0"/>
    <x v="1"/>
    <n v="13.84"/>
    <n v="5"/>
    <n v="26.3"/>
    <n v="12.66"/>
    <n v="39"/>
    <x v="1"/>
    <x v="4"/>
  </r>
  <r>
    <n v="100247"/>
    <x v="191"/>
    <s v="AD-4422-C"/>
    <x v="2"/>
    <x v="1"/>
    <x v="0"/>
    <x v="1"/>
    <x v="0"/>
    <n v="92.32"/>
    <n v="20"/>
    <n v="369.28"/>
    <n v="110.32"/>
    <n v="36"/>
    <x v="0"/>
    <x v="5"/>
  </r>
  <r>
    <n v="100682"/>
    <x v="192"/>
    <s v="AD-4769-A"/>
    <x v="3"/>
    <x v="2"/>
    <x v="1"/>
    <x v="0"/>
    <x v="2"/>
    <n v="17.48"/>
    <n v="0"/>
    <n v="52.44"/>
    <n v="14.63"/>
    <n v="28"/>
    <x v="0"/>
    <x v="4"/>
  </r>
  <r>
    <n v="100558"/>
    <x v="193"/>
    <s v="AD-7824-A"/>
    <x v="17"/>
    <x v="2"/>
    <x v="0"/>
    <x v="3"/>
    <x v="3"/>
    <n v="44.85"/>
    <n v="5"/>
    <n v="42.61"/>
    <n v="15.86"/>
    <n v="33"/>
    <x v="1"/>
    <x v="2"/>
  </r>
  <r>
    <n v="101136"/>
    <x v="194"/>
    <s v="AD-1766-C"/>
    <x v="4"/>
    <x v="2"/>
    <x v="1"/>
    <x v="0"/>
    <x v="1"/>
    <n v="54.6"/>
    <n v="5"/>
    <n v="103.74"/>
    <n v="26.29"/>
    <n v="27"/>
    <x v="0"/>
    <x v="5"/>
  </r>
  <r>
    <n v="100967"/>
    <x v="195"/>
    <s v="AD-2586-B"/>
    <x v="18"/>
    <x v="1"/>
    <x v="4"/>
    <x v="3"/>
    <x v="2"/>
    <n v="80.41"/>
    <n v="10"/>
    <n v="217.11"/>
    <n v="73.760000000000005"/>
    <n v="37"/>
    <x v="0"/>
    <x v="7"/>
  </r>
  <r>
    <n v="101004"/>
    <x v="196"/>
    <s v="AD-3198-B"/>
    <x v="18"/>
    <x v="1"/>
    <x v="4"/>
    <x v="0"/>
    <x v="4"/>
    <n v="83.71"/>
    <n v="0"/>
    <n v="334.84"/>
    <n v="75.38"/>
    <n v="20"/>
    <x v="1"/>
    <x v="6"/>
  </r>
  <r>
    <n v="100984"/>
    <x v="197"/>
    <s v="AD-9189-D"/>
    <x v="8"/>
    <x v="2"/>
    <x v="1"/>
    <x v="2"/>
    <x v="2"/>
    <n v="14.02"/>
    <n v="0"/>
    <n v="42.06"/>
    <n v="12.7"/>
    <n v="40"/>
    <x v="1"/>
    <x v="6"/>
  </r>
  <r>
    <n v="100294"/>
    <x v="198"/>
    <s v="AD-8272-D"/>
    <x v="12"/>
    <x v="0"/>
    <x v="1"/>
    <x v="1"/>
    <x v="2"/>
    <n v="130.16999999999999"/>
    <n v="0"/>
    <n v="390.51"/>
    <n v="89.97"/>
    <n v="27"/>
    <x v="0"/>
    <x v="2"/>
  </r>
  <r>
    <n v="100519"/>
    <x v="199"/>
    <s v="AD-2702-C"/>
    <x v="9"/>
    <x v="2"/>
    <x v="4"/>
    <x v="0"/>
    <x v="1"/>
    <n v="20.76"/>
    <n v="0"/>
    <n v="41.52"/>
    <n v="8.75"/>
    <n v="26"/>
    <x v="0"/>
    <x v="1"/>
  </r>
  <r>
    <n v="100770"/>
    <x v="200"/>
    <s v="AD-4926-C"/>
    <x v="11"/>
    <x v="0"/>
    <x v="4"/>
    <x v="3"/>
    <x v="1"/>
    <n v="29.65"/>
    <n v="0"/>
    <n v="59.3"/>
    <n v="15.46"/>
    <n v="20"/>
    <x v="0"/>
    <x v="7"/>
  </r>
  <r>
    <n v="100083"/>
    <x v="201"/>
    <s v="AD-1977-B"/>
    <x v="18"/>
    <x v="1"/>
    <x v="0"/>
    <x v="2"/>
    <x v="2"/>
    <n v="87.25"/>
    <n v="0"/>
    <n v="261.75"/>
    <n v="56.23"/>
    <n v="29"/>
    <x v="0"/>
    <x v="1"/>
  </r>
  <r>
    <n v="100231"/>
    <x v="202"/>
    <s v="AD-2489-D"/>
    <x v="13"/>
    <x v="0"/>
    <x v="1"/>
    <x v="1"/>
    <x v="1"/>
    <n v="140.59"/>
    <n v="0"/>
    <n v="281.18"/>
    <n v="89.42"/>
    <n v="33"/>
    <x v="0"/>
    <x v="5"/>
  </r>
  <r>
    <n v="100620"/>
    <x v="203"/>
    <s v="AD-3932-D"/>
    <x v="9"/>
    <x v="2"/>
    <x v="4"/>
    <x v="0"/>
    <x v="3"/>
    <n v="23.97"/>
    <n v="0"/>
    <n v="23.97"/>
    <n v="11.8"/>
    <n v="39"/>
    <x v="1"/>
    <x v="2"/>
  </r>
  <r>
    <n v="100333"/>
    <x v="204"/>
    <s v="AD-7878-D"/>
    <x v="12"/>
    <x v="0"/>
    <x v="0"/>
    <x v="0"/>
    <x v="0"/>
    <n v="136.06"/>
    <n v="0"/>
    <n v="680.3"/>
    <n v="257.42"/>
    <n v="35"/>
    <x v="1"/>
    <x v="6"/>
  </r>
  <r>
    <n v="100129"/>
    <x v="205"/>
    <s v="AD-7992-C"/>
    <x v="5"/>
    <x v="0"/>
    <x v="0"/>
    <x v="0"/>
    <x v="1"/>
    <n v="65.67"/>
    <n v="5"/>
    <n v="124.77"/>
    <n v="29.66"/>
    <n v="24"/>
    <x v="0"/>
    <x v="4"/>
  </r>
  <r>
    <n v="101011"/>
    <x v="77"/>
    <s v="AD-2623-A"/>
    <x v="9"/>
    <x v="2"/>
    <x v="1"/>
    <x v="1"/>
    <x v="1"/>
    <n v="20.57"/>
    <n v="10"/>
    <n v="37.03"/>
    <n v="13.01"/>
    <n v="19"/>
    <x v="1"/>
    <x v="0"/>
  </r>
  <r>
    <n v="100644"/>
    <x v="206"/>
    <s v="AD-5699-D"/>
    <x v="7"/>
    <x v="1"/>
    <x v="0"/>
    <x v="0"/>
    <x v="2"/>
    <n v="161.80000000000001"/>
    <n v="0"/>
    <n v="485.4"/>
    <n v="184.18"/>
    <n v="20"/>
    <x v="0"/>
    <x v="7"/>
  </r>
  <r>
    <n v="100973"/>
    <x v="191"/>
    <s v="AD-7556-A"/>
    <x v="15"/>
    <x v="1"/>
    <x v="0"/>
    <x v="1"/>
    <x v="2"/>
    <n v="142.9"/>
    <n v="0"/>
    <n v="428.7"/>
    <n v="137.94999999999999"/>
    <n v="34"/>
    <x v="1"/>
    <x v="5"/>
  </r>
  <r>
    <n v="100382"/>
    <x v="207"/>
    <s v="AD-9589-A"/>
    <x v="15"/>
    <x v="1"/>
    <x v="4"/>
    <x v="0"/>
    <x v="4"/>
    <n v="160.12"/>
    <n v="0"/>
    <n v="640.48"/>
    <n v="210.06"/>
    <n v="24"/>
    <x v="1"/>
    <x v="3"/>
  </r>
  <r>
    <n v="100867"/>
    <x v="208"/>
    <s v="AD-8417-C"/>
    <x v="19"/>
    <x v="1"/>
    <x v="0"/>
    <x v="2"/>
    <x v="2"/>
    <n v="138.03"/>
    <n v="0"/>
    <n v="414.09"/>
    <n v="137.47999999999999"/>
    <n v="19"/>
    <x v="0"/>
    <x v="0"/>
  </r>
  <r>
    <n v="100542"/>
    <x v="160"/>
    <s v="AD-4039-A"/>
    <x v="0"/>
    <x v="0"/>
    <x v="1"/>
    <x v="1"/>
    <x v="2"/>
    <n v="52.49"/>
    <n v="0"/>
    <n v="157.47"/>
    <n v="47.2"/>
    <n v="39"/>
    <x v="0"/>
    <x v="2"/>
  </r>
  <r>
    <n v="101193"/>
    <x v="209"/>
    <s v="AD-4793-B"/>
    <x v="7"/>
    <x v="1"/>
    <x v="0"/>
    <x v="1"/>
    <x v="2"/>
    <n v="156.99"/>
    <n v="20"/>
    <n v="376.78"/>
    <n v="142.68"/>
    <n v="25"/>
    <x v="0"/>
    <x v="4"/>
  </r>
  <r>
    <n v="100874"/>
    <x v="210"/>
    <s v="AD-9197-D"/>
    <x v="19"/>
    <x v="1"/>
    <x v="4"/>
    <x v="2"/>
    <x v="4"/>
    <n v="134.99"/>
    <n v="20"/>
    <n v="431.97"/>
    <n v="106.8"/>
    <n v="36"/>
    <x v="1"/>
    <x v="0"/>
  </r>
  <r>
    <n v="100331"/>
    <x v="211"/>
    <s v="AD-3466-A"/>
    <x v="17"/>
    <x v="2"/>
    <x v="3"/>
    <x v="1"/>
    <x v="3"/>
    <n v="43.72"/>
    <n v="0"/>
    <n v="43.72"/>
    <n v="17.41"/>
    <n v="34"/>
    <x v="0"/>
    <x v="6"/>
  </r>
  <r>
    <n v="100409"/>
    <x v="212"/>
    <s v="AD-9381-A"/>
    <x v="18"/>
    <x v="1"/>
    <x v="4"/>
    <x v="1"/>
    <x v="4"/>
    <n v="88.17"/>
    <n v="0"/>
    <n v="352.68"/>
    <n v="91.08"/>
    <n v="46"/>
    <x v="1"/>
    <x v="1"/>
  </r>
  <r>
    <n v="100076"/>
    <x v="37"/>
    <s v="AD-2680-A"/>
    <x v="15"/>
    <x v="1"/>
    <x v="0"/>
    <x v="0"/>
    <x v="0"/>
    <n v="153.55000000000001"/>
    <n v="0"/>
    <n v="767.75"/>
    <n v="188.2"/>
    <n v="17"/>
    <x v="0"/>
    <x v="5"/>
  </r>
  <r>
    <n v="100868"/>
    <x v="213"/>
    <s v="AD-1033-D"/>
    <x v="13"/>
    <x v="0"/>
    <x v="1"/>
    <x v="1"/>
    <x v="4"/>
    <n v="117.05"/>
    <n v="5"/>
    <n v="444.79"/>
    <n v="156.59"/>
    <n v="18"/>
    <x v="1"/>
    <x v="3"/>
  </r>
  <r>
    <n v="100138"/>
    <x v="214"/>
    <s v="AD-6655-D"/>
    <x v="3"/>
    <x v="2"/>
    <x v="1"/>
    <x v="0"/>
    <x v="4"/>
    <n v="15.65"/>
    <n v="0"/>
    <n v="62.6"/>
    <n v="23.08"/>
    <n v="42"/>
    <x v="1"/>
    <x v="1"/>
  </r>
  <r>
    <n v="100543"/>
    <x v="34"/>
    <s v="AD-4110-D"/>
    <x v="11"/>
    <x v="0"/>
    <x v="4"/>
    <x v="1"/>
    <x v="2"/>
    <n v="28.83"/>
    <n v="0"/>
    <n v="86.49"/>
    <n v="20.420000000000002"/>
    <n v="36"/>
    <x v="0"/>
    <x v="2"/>
  </r>
  <r>
    <n v="100673"/>
    <x v="215"/>
    <s v="AD-3753-C"/>
    <x v="15"/>
    <x v="1"/>
    <x v="1"/>
    <x v="0"/>
    <x v="1"/>
    <n v="147.27000000000001"/>
    <n v="0"/>
    <n v="294.54000000000002"/>
    <n v="118.55"/>
    <n v="30"/>
    <x v="1"/>
    <x v="2"/>
  </r>
  <r>
    <n v="100920"/>
    <x v="216"/>
    <s v="AD-8835-A"/>
    <x v="13"/>
    <x v="0"/>
    <x v="1"/>
    <x v="0"/>
    <x v="1"/>
    <n v="112.21"/>
    <n v="0"/>
    <n v="224.42"/>
    <n v="59.14"/>
    <n v="40"/>
    <x v="1"/>
    <x v="2"/>
  </r>
  <r>
    <n v="100063"/>
    <x v="217"/>
    <s v="AD-3683-C"/>
    <x v="16"/>
    <x v="1"/>
    <x v="4"/>
    <x v="0"/>
    <x v="1"/>
    <n v="33.42"/>
    <n v="5"/>
    <n v="63.5"/>
    <n v="19.829999999999998"/>
    <n v="25"/>
    <x v="0"/>
    <x v="1"/>
  </r>
  <r>
    <n v="100141"/>
    <x v="218"/>
    <s v="AD-2180-D"/>
    <x v="4"/>
    <x v="2"/>
    <x v="1"/>
    <x v="1"/>
    <x v="3"/>
    <n v="56.52"/>
    <n v="20"/>
    <n v="45.22"/>
    <n v="10.38"/>
    <n v="34"/>
    <x v="1"/>
    <x v="4"/>
  </r>
  <r>
    <n v="100716"/>
    <x v="219"/>
    <s v="AD-2083-D"/>
    <x v="17"/>
    <x v="2"/>
    <x v="4"/>
    <x v="0"/>
    <x v="2"/>
    <n v="39.35"/>
    <n v="0"/>
    <n v="118.05"/>
    <n v="34.590000000000003"/>
    <n v="32"/>
    <x v="2"/>
    <x v="4"/>
  </r>
  <r>
    <n v="100376"/>
    <x v="220"/>
    <s v="AD-2654-C"/>
    <x v="14"/>
    <x v="1"/>
    <x v="0"/>
    <x v="3"/>
    <x v="3"/>
    <n v="186.67"/>
    <n v="0"/>
    <n v="186.67"/>
    <n v="57.99"/>
    <n v="41"/>
    <x v="1"/>
    <x v="1"/>
  </r>
  <r>
    <n v="100363"/>
    <x v="221"/>
    <s v="AD-9962-A"/>
    <x v="1"/>
    <x v="0"/>
    <x v="4"/>
    <x v="0"/>
    <x v="4"/>
    <n v="25.48"/>
    <n v="0"/>
    <n v="101.92"/>
    <n v="35.270000000000003"/>
    <n v="45"/>
    <x v="1"/>
    <x v="1"/>
  </r>
  <r>
    <n v="100139"/>
    <x v="222"/>
    <s v="AD-7475-A"/>
    <x v="0"/>
    <x v="0"/>
    <x v="0"/>
    <x v="1"/>
    <x v="1"/>
    <n v="61.91"/>
    <n v="0"/>
    <n v="123.82"/>
    <n v="33.5"/>
    <n v="36"/>
    <x v="1"/>
    <x v="6"/>
  </r>
  <r>
    <n v="100884"/>
    <x v="223"/>
    <s v="AD-1855-C"/>
    <x v="3"/>
    <x v="2"/>
    <x v="0"/>
    <x v="0"/>
    <x v="4"/>
    <n v="16.86"/>
    <n v="10"/>
    <n v="60.7"/>
    <n v="20.02"/>
    <n v="33"/>
    <x v="1"/>
    <x v="7"/>
  </r>
  <r>
    <n v="101041"/>
    <x v="224"/>
    <s v="AD-4309-B"/>
    <x v="3"/>
    <x v="2"/>
    <x v="4"/>
    <x v="1"/>
    <x v="0"/>
    <n v="17.62"/>
    <n v="0"/>
    <n v="88.1"/>
    <n v="35.78"/>
    <n v="35"/>
    <x v="1"/>
    <x v="5"/>
  </r>
  <r>
    <n v="100224"/>
    <x v="225"/>
    <s v="AD-7567-A"/>
    <x v="19"/>
    <x v="1"/>
    <x v="2"/>
    <x v="2"/>
    <x v="2"/>
    <n v="119.72"/>
    <n v="0"/>
    <n v="359.16"/>
    <n v="87.93"/>
    <n v="42"/>
    <x v="1"/>
    <x v="1"/>
  </r>
  <r>
    <n v="100514"/>
    <x v="226"/>
    <s v="AD-8598-B"/>
    <x v="10"/>
    <x v="2"/>
    <x v="0"/>
    <x v="2"/>
    <x v="4"/>
    <n v="39.04"/>
    <n v="5"/>
    <n v="148.35"/>
    <n v="54.55"/>
    <n v="23"/>
    <x v="1"/>
    <x v="0"/>
  </r>
  <r>
    <n v="100266"/>
    <x v="227"/>
    <s v="AD-2344-C"/>
    <x v="17"/>
    <x v="2"/>
    <x v="4"/>
    <x v="1"/>
    <x v="3"/>
    <n v="37.5"/>
    <n v="0"/>
    <n v="37.5"/>
    <n v="14.68"/>
    <n v="37"/>
    <x v="0"/>
    <x v="1"/>
  </r>
  <r>
    <n v="101169"/>
    <x v="228"/>
    <s v="AD-3664-C"/>
    <x v="6"/>
    <x v="1"/>
    <x v="0"/>
    <x v="1"/>
    <x v="4"/>
    <n v="198.5"/>
    <n v="5"/>
    <n v="754.3"/>
    <n v="256.14999999999998"/>
    <n v="21"/>
    <x v="1"/>
    <x v="0"/>
  </r>
  <r>
    <n v="100486"/>
    <x v="229"/>
    <s v="AD-5157-C"/>
    <x v="16"/>
    <x v="1"/>
    <x v="0"/>
    <x v="1"/>
    <x v="3"/>
    <n v="36.39"/>
    <n v="5"/>
    <n v="34.57"/>
    <n v="10.45"/>
    <n v="25"/>
    <x v="1"/>
    <x v="5"/>
  </r>
  <r>
    <n v="100352"/>
    <x v="230"/>
    <s v="AD-9035-A"/>
    <x v="16"/>
    <x v="1"/>
    <x v="0"/>
    <x v="3"/>
    <x v="2"/>
    <n v="31.9"/>
    <n v="0"/>
    <n v="95.7"/>
    <n v="27.68"/>
    <n v="30"/>
    <x v="1"/>
    <x v="3"/>
  </r>
  <r>
    <n v="101005"/>
    <x v="231"/>
    <s v="AD-7255-B"/>
    <x v="11"/>
    <x v="0"/>
    <x v="0"/>
    <x v="0"/>
    <x v="1"/>
    <n v="27.3"/>
    <n v="40"/>
    <n v="32.76"/>
    <n v="7.02"/>
    <n v="29"/>
    <x v="1"/>
    <x v="0"/>
  </r>
  <r>
    <n v="100617"/>
    <x v="232"/>
    <s v="AD-3446-B"/>
    <x v="16"/>
    <x v="1"/>
    <x v="1"/>
    <x v="1"/>
    <x v="4"/>
    <n v="30.43"/>
    <n v="5"/>
    <n v="115.63"/>
    <n v="29.39"/>
    <n v="32"/>
    <x v="0"/>
    <x v="0"/>
  </r>
  <r>
    <n v="100667"/>
    <x v="233"/>
    <s v="AD-1606-C"/>
    <x v="8"/>
    <x v="2"/>
    <x v="1"/>
    <x v="3"/>
    <x v="5"/>
    <n v="15.22"/>
    <n v="0"/>
    <n v="91.32"/>
    <n v="26.48"/>
    <n v="23"/>
    <x v="0"/>
    <x v="7"/>
  </r>
  <r>
    <n v="100774"/>
    <x v="169"/>
    <s v="AD-7920-A"/>
    <x v="2"/>
    <x v="1"/>
    <x v="3"/>
    <x v="1"/>
    <x v="5"/>
    <n v="95.51"/>
    <n v="0"/>
    <n v="573.05999999999995"/>
    <n v="94.18"/>
    <n v="16"/>
    <x v="1"/>
    <x v="4"/>
  </r>
  <r>
    <n v="100553"/>
    <x v="234"/>
    <s v="AD-1003-A"/>
    <x v="8"/>
    <x v="2"/>
    <x v="4"/>
    <x v="3"/>
    <x v="2"/>
    <n v="14.41"/>
    <n v="0"/>
    <n v="43.23"/>
    <n v="15.33"/>
    <n v="25"/>
    <x v="1"/>
    <x v="2"/>
  </r>
  <r>
    <n v="100575"/>
    <x v="235"/>
    <s v="AD-4695-B"/>
    <x v="12"/>
    <x v="0"/>
    <x v="0"/>
    <x v="0"/>
    <x v="4"/>
    <n v="141.57"/>
    <n v="0"/>
    <n v="566.28"/>
    <n v="156.63999999999999"/>
    <n v="39"/>
    <x v="0"/>
    <x v="0"/>
  </r>
  <r>
    <n v="100914"/>
    <x v="236"/>
    <s v="AD-9188-C"/>
    <x v="8"/>
    <x v="2"/>
    <x v="4"/>
    <x v="2"/>
    <x v="2"/>
    <n v="16.45"/>
    <n v="10"/>
    <n v="44.41"/>
    <n v="16.55"/>
    <n v="35"/>
    <x v="1"/>
    <x v="7"/>
  </r>
  <r>
    <n v="100465"/>
    <x v="237"/>
    <s v="AD-1600-C"/>
    <x v="10"/>
    <x v="2"/>
    <x v="0"/>
    <x v="1"/>
    <x v="4"/>
    <n v="51.19"/>
    <n v="0"/>
    <n v="204.76"/>
    <n v="59.69"/>
    <n v="36"/>
    <x v="0"/>
    <x v="6"/>
  </r>
  <r>
    <n v="100590"/>
    <x v="120"/>
    <s v="AD-3686-A"/>
    <x v="17"/>
    <x v="2"/>
    <x v="2"/>
    <x v="2"/>
    <x v="2"/>
    <n v="39.96"/>
    <n v="0"/>
    <n v="119.88"/>
    <n v="34.04"/>
    <n v="20"/>
    <x v="1"/>
    <x v="4"/>
  </r>
  <r>
    <n v="100764"/>
    <x v="238"/>
    <s v="AD-2041-D"/>
    <x v="9"/>
    <x v="2"/>
    <x v="4"/>
    <x v="2"/>
    <x v="2"/>
    <n v="23.51"/>
    <n v="0"/>
    <n v="70.53"/>
    <n v="23.67"/>
    <n v="31"/>
    <x v="1"/>
    <x v="0"/>
  </r>
  <r>
    <n v="100634"/>
    <x v="239"/>
    <s v="AD-7652-D"/>
    <x v="6"/>
    <x v="1"/>
    <x v="0"/>
    <x v="0"/>
    <x v="3"/>
    <n v="208.4"/>
    <n v="20"/>
    <n v="166.72"/>
    <n v="38.46"/>
    <n v="39"/>
    <x v="1"/>
    <x v="2"/>
  </r>
  <r>
    <n v="100837"/>
    <x v="240"/>
    <s v="AD-4501-A"/>
    <x v="13"/>
    <x v="0"/>
    <x v="0"/>
    <x v="2"/>
    <x v="2"/>
    <n v="124.01"/>
    <n v="5"/>
    <n v="353.43"/>
    <n v="138.56"/>
    <n v="39"/>
    <x v="1"/>
    <x v="0"/>
  </r>
  <r>
    <n v="100289"/>
    <x v="241"/>
    <s v="AD-6700-C"/>
    <x v="9"/>
    <x v="2"/>
    <x v="0"/>
    <x v="1"/>
    <x v="2"/>
    <n v="21.46"/>
    <n v="0"/>
    <n v="64.38"/>
    <n v="19.04"/>
    <n v="21"/>
    <x v="0"/>
    <x v="1"/>
  </r>
  <r>
    <n v="100039"/>
    <x v="242"/>
    <s v="AD-4269-D"/>
    <x v="7"/>
    <x v="1"/>
    <x v="4"/>
    <x v="2"/>
    <x v="2"/>
    <n v="168.34"/>
    <n v="0"/>
    <n v="505.02"/>
    <n v="155.66999999999999"/>
    <n v="23"/>
    <x v="0"/>
    <x v="6"/>
  </r>
  <r>
    <n v="100030"/>
    <x v="125"/>
    <s v="AD-1152-D"/>
    <x v="14"/>
    <x v="1"/>
    <x v="4"/>
    <x v="0"/>
    <x v="2"/>
    <n v="252.84"/>
    <n v="0"/>
    <n v="758.52"/>
    <n v="245.53"/>
    <n v="23"/>
    <x v="0"/>
    <x v="1"/>
  </r>
  <r>
    <n v="100242"/>
    <x v="178"/>
    <s v="AD-9120-A"/>
    <x v="15"/>
    <x v="1"/>
    <x v="0"/>
    <x v="1"/>
    <x v="2"/>
    <n v="164.56"/>
    <n v="0"/>
    <n v="493.68"/>
    <n v="151.6"/>
    <n v="25"/>
    <x v="1"/>
    <x v="2"/>
  </r>
  <r>
    <n v="100428"/>
    <x v="243"/>
    <s v="AD-2752-C"/>
    <x v="18"/>
    <x v="1"/>
    <x v="4"/>
    <x v="0"/>
    <x v="2"/>
    <n v="80.41"/>
    <n v="10"/>
    <n v="217.11"/>
    <n v="65.5"/>
    <n v="21"/>
    <x v="0"/>
    <x v="2"/>
  </r>
  <r>
    <n v="100136"/>
    <x v="244"/>
    <s v="AD-7062-C"/>
    <x v="6"/>
    <x v="1"/>
    <x v="1"/>
    <x v="0"/>
    <x v="1"/>
    <n v="181.64"/>
    <n v="10"/>
    <n v="326.95"/>
    <n v="100.54"/>
    <n v="32"/>
    <x v="1"/>
    <x v="3"/>
  </r>
  <r>
    <n v="101100"/>
    <x v="245"/>
    <s v="AD-7876-B"/>
    <x v="7"/>
    <x v="1"/>
    <x v="4"/>
    <x v="0"/>
    <x v="3"/>
    <n v="150.4"/>
    <n v="10"/>
    <n v="135.36000000000001"/>
    <n v="34.33"/>
    <n v="24"/>
    <x v="1"/>
    <x v="5"/>
  </r>
  <r>
    <n v="100864"/>
    <x v="246"/>
    <s v="AD-8900-C"/>
    <x v="3"/>
    <x v="2"/>
    <x v="0"/>
    <x v="1"/>
    <x v="2"/>
    <n v="18.989999999999998"/>
    <n v="0"/>
    <n v="56.97"/>
    <n v="15.45"/>
    <n v="27"/>
    <x v="1"/>
    <x v="7"/>
  </r>
  <r>
    <n v="100003"/>
    <x v="247"/>
    <s v="AD-1711-D"/>
    <x v="13"/>
    <x v="0"/>
    <x v="1"/>
    <x v="0"/>
    <x v="1"/>
    <n v="123.02"/>
    <n v="10"/>
    <n v="221.44"/>
    <n v="81.48"/>
    <n v="28"/>
    <x v="1"/>
    <x v="0"/>
  </r>
  <r>
    <n v="100832"/>
    <x v="248"/>
    <s v="AD-3692-D"/>
    <x v="6"/>
    <x v="1"/>
    <x v="1"/>
    <x v="0"/>
    <x v="2"/>
    <n v="176.94"/>
    <n v="0"/>
    <n v="530.82000000000005"/>
    <n v="190.54"/>
    <n v="33"/>
    <x v="1"/>
    <x v="2"/>
  </r>
  <r>
    <n v="100602"/>
    <x v="249"/>
    <s v="AD-9514-D"/>
    <x v="10"/>
    <x v="2"/>
    <x v="0"/>
    <x v="3"/>
    <x v="2"/>
    <n v="38.81"/>
    <n v="0"/>
    <n v="116.43"/>
    <n v="53.32"/>
    <n v="21"/>
    <x v="0"/>
    <x v="5"/>
  </r>
  <r>
    <n v="101033"/>
    <x v="250"/>
    <s v="AD-4091-B"/>
    <x v="4"/>
    <x v="2"/>
    <x v="0"/>
    <x v="2"/>
    <x v="1"/>
    <n v="63.01"/>
    <n v="20"/>
    <n v="100.82"/>
    <n v="28.01"/>
    <n v="24"/>
    <x v="0"/>
    <x v="3"/>
  </r>
  <r>
    <n v="100654"/>
    <x v="251"/>
    <s v="AD-1931-B"/>
    <x v="3"/>
    <x v="2"/>
    <x v="0"/>
    <x v="0"/>
    <x v="0"/>
    <n v="18.71"/>
    <n v="5"/>
    <n v="88.87"/>
    <n v="26"/>
    <n v="22"/>
    <x v="1"/>
    <x v="1"/>
  </r>
  <r>
    <n v="100843"/>
    <x v="252"/>
    <s v="AD-9622-D"/>
    <x v="2"/>
    <x v="1"/>
    <x v="2"/>
    <x v="1"/>
    <x v="1"/>
    <n v="94.66"/>
    <n v="10"/>
    <n v="170.39"/>
    <n v="58.52"/>
    <n v="16"/>
    <x v="1"/>
    <x v="4"/>
  </r>
  <r>
    <n v="100783"/>
    <x v="59"/>
    <s v="AD-5636-B"/>
    <x v="1"/>
    <x v="0"/>
    <x v="1"/>
    <x v="0"/>
    <x v="2"/>
    <n v="22.78"/>
    <n v="5"/>
    <n v="64.92"/>
    <n v="19.72"/>
    <n v="32"/>
    <x v="0"/>
    <x v="6"/>
  </r>
  <r>
    <n v="101073"/>
    <x v="253"/>
    <s v="AD-1494-B"/>
    <x v="4"/>
    <x v="2"/>
    <x v="0"/>
    <x v="1"/>
    <x v="2"/>
    <n v="54.17"/>
    <n v="5"/>
    <n v="154.38"/>
    <n v="52.04"/>
    <n v="32"/>
    <x v="1"/>
    <x v="3"/>
  </r>
  <r>
    <n v="100442"/>
    <x v="132"/>
    <s v="AD-9418-A"/>
    <x v="16"/>
    <x v="1"/>
    <x v="4"/>
    <x v="1"/>
    <x v="1"/>
    <n v="35.200000000000003"/>
    <n v="5"/>
    <n v="66.88"/>
    <n v="17.920000000000002"/>
    <n v="39"/>
    <x v="1"/>
    <x v="3"/>
  </r>
  <r>
    <n v="101177"/>
    <x v="254"/>
    <s v="AD-2448-B"/>
    <x v="3"/>
    <x v="2"/>
    <x v="1"/>
    <x v="0"/>
    <x v="2"/>
    <n v="17.440000000000001"/>
    <n v="5"/>
    <n v="49.7"/>
    <n v="19.57"/>
    <n v="28"/>
    <x v="0"/>
    <x v="2"/>
  </r>
  <r>
    <n v="100435"/>
    <x v="255"/>
    <s v="AD-9255-C"/>
    <x v="19"/>
    <x v="1"/>
    <x v="0"/>
    <x v="3"/>
    <x v="5"/>
    <n v="162.34"/>
    <n v="0"/>
    <n v="974.04"/>
    <n v="303.42"/>
    <n v="33"/>
    <x v="1"/>
    <x v="3"/>
  </r>
  <r>
    <n v="101168"/>
    <x v="256"/>
    <s v="AD-5725-A"/>
    <x v="10"/>
    <x v="2"/>
    <x v="2"/>
    <x v="0"/>
    <x v="1"/>
    <n v="45.69"/>
    <n v="0"/>
    <n v="91.38"/>
    <n v="36.33"/>
    <n v="26"/>
    <x v="0"/>
    <x v="4"/>
  </r>
  <r>
    <n v="100100"/>
    <x v="257"/>
    <s v="AD-8994-A"/>
    <x v="2"/>
    <x v="1"/>
    <x v="2"/>
    <x v="2"/>
    <x v="4"/>
    <n v="97.97"/>
    <n v="0"/>
    <n v="391.88"/>
    <n v="115.9"/>
    <n v="34"/>
    <x v="1"/>
    <x v="4"/>
  </r>
  <r>
    <n v="100772"/>
    <x v="258"/>
    <s v="AD-5929-A"/>
    <x v="3"/>
    <x v="2"/>
    <x v="2"/>
    <x v="0"/>
    <x v="4"/>
    <n v="18.440000000000001"/>
    <n v="5"/>
    <n v="70.069999999999993"/>
    <n v="17.75"/>
    <n v="28"/>
    <x v="0"/>
    <x v="0"/>
  </r>
  <r>
    <n v="100494"/>
    <x v="259"/>
    <s v="AD-6693-C"/>
    <x v="2"/>
    <x v="1"/>
    <x v="1"/>
    <x v="1"/>
    <x v="1"/>
    <n v="87.49"/>
    <n v="0"/>
    <n v="174.98"/>
    <n v="60.66"/>
    <n v="23"/>
    <x v="0"/>
    <x v="4"/>
  </r>
  <r>
    <n v="101027"/>
    <x v="260"/>
    <s v="AD-2813-B"/>
    <x v="3"/>
    <x v="2"/>
    <x v="1"/>
    <x v="0"/>
    <x v="4"/>
    <n v="18.05"/>
    <n v="20"/>
    <n v="57.76"/>
    <n v="16.18"/>
    <n v="26"/>
    <x v="1"/>
    <x v="6"/>
  </r>
  <r>
    <n v="100806"/>
    <x v="261"/>
    <s v="AD-9366-D"/>
    <x v="4"/>
    <x v="2"/>
    <x v="4"/>
    <x v="0"/>
    <x v="2"/>
    <n v="57.97"/>
    <n v="5"/>
    <n v="165.21"/>
    <n v="38.729999999999997"/>
    <n v="32"/>
    <x v="1"/>
    <x v="1"/>
  </r>
  <r>
    <n v="101141"/>
    <x v="20"/>
    <s v="AD-2722-C"/>
    <x v="11"/>
    <x v="0"/>
    <x v="4"/>
    <x v="0"/>
    <x v="1"/>
    <n v="30.73"/>
    <n v="0"/>
    <n v="61.46"/>
    <n v="18.68"/>
    <n v="31"/>
    <x v="0"/>
    <x v="3"/>
  </r>
  <r>
    <n v="100845"/>
    <x v="262"/>
    <s v="AD-9408-A"/>
    <x v="4"/>
    <x v="2"/>
    <x v="4"/>
    <x v="0"/>
    <x v="2"/>
    <n v="61.27"/>
    <n v="0"/>
    <n v="183.81"/>
    <n v="62.6"/>
    <n v="33"/>
    <x v="0"/>
    <x v="3"/>
  </r>
  <r>
    <n v="100986"/>
    <x v="263"/>
    <s v="AD-9110-C"/>
    <x v="18"/>
    <x v="1"/>
    <x v="2"/>
    <x v="1"/>
    <x v="3"/>
    <n v="80.89"/>
    <n v="40"/>
    <n v="48.53"/>
    <n v="16.34"/>
    <n v="19"/>
    <x v="0"/>
    <x v="6"/>
  </r>
  <r>
    <n v="100227"/>
    <x v="264"/>
    <s v="AD-2923-C"/>
    <x v="7"/>
    <x v="1"/>
    <x v="1"/>
    <x v="2"/>
    <x v="0"/>
    <n v="165.64"/>
    <n v="5"/>
    <n v="786.79"/>
    <n v="254.6"/>
    <n v="31"/>
    <x v="0"/>
    <x v="0"/>
  </r>
  <r>
    <n v="101192"/>
    <x v="265"/>
    <s v="AD-1736-A"/>
    <x v="13"/>
    <x v="0"/>
    <x v="0"/>
    <x v="1"/>
    <x v="2"/>
    <n v="140.07"/>
    <n v="0"/>
    <n v="420.21"/>
    <n v="138.38999999999999"/>
    <n v="16"/>
    <x v="0"/>
    <x v="1"/>
  </r>
  <r>
    <n v="100671"/>
    <x v="219"/>
    <s v="AD-2033-B"/>
    <x v="17"/>
    <x v="2"/>
    <x v="0"/>
    <x v="0"/>
    <x v="2"/>
    <n v="43.78"/>
    <n v="10"/>
    <n v="118.21"/>
    <n v="58.07"/>
    <n v="18"/>
    <x v="0"/>
    <x v="6"/>
  </r>
  <r>
    <n v="100858"/>
    <x v="266"/>
    <s v="AD-1445-A"/>
    <x v="0"/>
    <x v="0"/>
    <x v="0"/>
    <x v="0"/>
    <x v="4"/>
    <n v="51.7"/>
    <n v="0"/>
    <n v="206.8"/>
    <n v="55.16"/>
    <n v="25"/>
    <x v="0"/>
    <x v="3"/>
  </r>
  <r>
    <n v="100924"/>
    <x v="267"/>
    <s v="AD-7407-B"/>
    <x v="15"/>
    <x v="1"/>
    <x v="4"/>
    <x v="2"/>
    <x v="1"/>
    <n v="149.1"/>
    <n v="0"/>
    <n v="298.2"/>
    <n v="76.67"/>
    <n v="29"/>
    <x v="1"/>
    <x v="0"/>
  </r>
  <r>
    <n v="100066"/>
    <x v="116"/>
    <s v="AD-9031-A"/>
    <x v="4"/>
    <x v="2"/>
    <x v="4"/>
    <x v="1"/>
    <x v="3"/>
    <n v="64.12"/>
    <n v="0"/>
    <n v="64.12"/>
    <n v="20.440000000000001"/>
    <n v="27"/>
    <x v="1"/>
    <x v="2"/>
  </r>
  <r>
    <n v="100067"/>
    <x v="268"/>
    <s v="AD-9817-D"/>
    <x v="11"/>
    <x v="0"/>
    <x v="0"/>
    <x v="1"/>
    <x v="1"/>
    <n v="29.99"/>
    <n v="0"/>
    <n v="59.98"/>
    <n v="21.37"/>
    <n v="36"/>
    <x v="1"/>
    <x v="0"/>
  </r>
  <r>
    <n v="100816"/>
    <x v="269"/>
    <s v="AD-1606-D"/>
    <x v="4"/>
    <x v="2"/>
    <x v="2"/>
    <x v="1"/>
    <x v="0"/>
    <n v="58.03"/>
    <n v="0"/>
    <n v="290.14999999999998"/>
    <n v="101.53"/>
    <n v="25"/>
    <x v="0"/>
    <x v="0"/>
  </r>
  <r>
    <n v="100211"/>
    <x v="270"/>
    <s v="AD-8531-C"/>
    <x v="16"/>
    <x v="1"/>
    <x v="3"/>
    <x v="1"/>
    <x v="2"/>
    <n v="40.36"/>
    <n v="0"/>
    <n v="121.08"/>
    <n v="36.14"/>
    <n v="46"/>
    <x v="1"/>
    <x v="3"/>
  </r>
  <r>
    <n v="100012"/>
    <x v="271"/>
    <s v="AD-9201-B"/>
    <x v="13"/>
    <x v="0"/>
    <x v="1"/>
    <x v="1"/>
    <x v="1"/>
    <n v="123.18"/>
    <n v="10"/>
    <n v="221.72"/>
    <n v="75.06"/>
    <n v="21"/>
    <x v="0"/>
    <x v="0"/>
  </r>
  <r>
    <n v="100493"/>
    <x v="272"/>
    <s v="AD-4281-A"/>
    <x v="7"/>
    <x v="1"/>
    <x v="4"/>
    <x v="0"/>
    <x v="0"/>
    <n v="163.98"/>
    <n v="10"/>
    <n v="737.91"/>
    <n v="217.96"/>
    <n v="20"/>
    <x v="0"/>
    <x v="2"/>
  </r>
  <r>
    <n v="101164"/>
    <x v="273"/>
    <s v="AD-3320-C"/>
    <x v="1"/>
    <x v="0"/>
    <x v="0"/>
    <x v="0"/>
    <x v="1"/>
    <n v="22.68"/>
    <n v="0"/>
    <n v="45.36"/>
    <n v="17.010000000000002"/>
    <n v="29"/>
    <x v="0"/>
    <x v="6"/>
  </r>
  <r>
    <n v="100299"/>
    <x v="274"/>
    <s v="AD-1972-C"/>
    <x v="19"/>
    <x v="1"/>
    <x v="4"/>
    <x v="0"/>
    <x v="2"/>
    <n v="129.63"/>
    <n v="0"/>
    <n v="388.89"/>
    <n v="108.37"/>
    <n v="25"/>
    <x v="1"/>
    <x v="6"/>
  </r>
  <r>
    <n v="100410"/>
    <x v="275"/>
    <s v="AD-6864-D"/>
    <x v="18"/>
    <x v="1"/>
    <x v="1"/>
    <x v="1"/>
    <x v="2"/>
    <n v="74.069999999999993"/>
    <n v="0"/>
    <n v="222.21"/>
    <n v="68.72"/>
    <n v="36"/>
    <x v="0"/>
    <x v="6"/>
  </r>
  <r>
    <n v="100756"/>
    <x v="276"/>
    <s v="AD-2552-C"/>
    <x v="1"/>
    <x v="0"/>
    <x v="3"/>
    <x v="0"/>
    <x v="4"/>
    <n v="24.96"/>
    <n v="10"/>
    <n v="89.86"/>
    <n v="21.45"/>
    <n v="37"/>
    <x v="1"/>
    <x v="1"/>
  </r>
  <r>
    <n v="101074"/>
    <x v="277"/>
    <s v="AD-3988-D"/>
    <x v="14"/>
    <x v="1"/>
    <x v="4"/>
    <x v="1"/>
    <x v="2"/>
    <n v="219.01"/>
    <n v="10"/>
    <n v="591.33000000000004"/>
    <n v="166.09"/>
    <n v="34"/>
    <x v="0"/>
    <x v="3"/>
  </r>
  <r>
    <n v="100695"/>
    <x v="278"/>
    <s v="AD-6989-D"/>
    <x v="15"/>
    <x v="1"/>
    <x v="2"/>
    <x v="0"/>
    <x v="2"/>
    <n v="162.84"/>
    <n v="0"/>
    <n v="488.52"/>
    <n v="148.62"/>
    <n v="43"/>
    <x v="1"/>
    <x v="2"/>
  </r>
  <r>
    <n v="101150"/>
    <x v="279"/>
    <s v="AD-3413-D"/>
    <x v="12"/>
    <x v="0"/>
    <x v="4"/>
    <x v="0"/>
    <x v="1"/>
    <n v="140.49"/>
    <n v="20"/>
    <n v="224.78"/>
    <n v="75.83"/>
    <n v="29"/>
    <x v="1"/>
    <x v="1"/>
  </r>
  <r>
    <n v="100723"/>
    <x v="280"/>
    <s v="AD-5778-A"/>
    <x v="15"/>
    <x v="1"/>
    <x v="1"/>
    <x v="2"/>
    <x v="2"/>
    <n v="147.44"/>
    <n v="40"/>
    <n v="265.39"/>
    <n v="83.86"/>
    <n v="43"/>
    <x v="1"/>
    <x v="0"/>
  </r>
  <r>
    <n v="101015"/>
    <x v="281"/>
    <s v="AD-6007-D"/>
    <x v="4"/>
    <x v="2"/>
    <x v="0"/>
    <x v="3"/>
    <x v="2"/>
    <n v="59.74"/>
    <n v="0"/>
    <n v="179.22"/>
    <n v="59.57"/>
    <n v="20"/>
    <x v="1"/>
    <x v="1"/>
  </r>
  <r>
    <n v="100527"/>
    <x v="280"/>
    <s v="AD-5664-C"/>
    <x v="12"/>
    <x v="0"/>
    <x v="4"/>
    <x v="0"/>
    <x v="1"/>
    <n v="149.47"/>
    <n v="0"/>
    <n v="298.94"/>
    <n v="82.76"/>
    <n v="43"/>
    <x v="0"/>
    <x v="0"/>
  </r>
  <r>
    <n v="100599"/>
    <x v="282"/>
    <s v="AD-8001-A"/>
    <x v="15"/>
    <x v="1"/>
    <x v="4"/>
    <x v="0"/>
    <x v="4"/>
    <n v="155.11000000000001"/>
    <n v="10"/>
    <n v="558.4"/>
    <n v="140.93"/>
    <n v="24"/>
    <x v="1"/>
    <x v="1"/>
  </r>
  <r>
    <n v="101119"/>
    <x v="283"/>
    <s v="AD-4056-B"/>
    <x v="12"/>
    <x v="0"/>
    <x v="0"/>
    <x v="3"/>
    <x v="2"/>
    <n v="160.26"/>
    <n v="10"/>
    <n v="432.7"/>
    <n v="138.96"/>
    <n v="16"/>
    <x v="0"/>
    <x v="4"/>
  </r>
  <r>
    <n v="100566"/>
    <x v="284"/>
    <s v="AD-2405-A"/>
    <x v="14"/>
    <x v="1"/>
    <x v="2"/>
    <x v="0"/>
    <x v="2"/>
    <n v="211.03"/>
    <n v="5"/>
    <n v="601.44000000000005"/>
    <n v="181.47"/>
    <n v="31"/>
    <x v="0"/>
    <x v="3"/>
  </r>
  <r>
    <n v="100730"/>
    <x v="152"/>
    <s v="AD-1537-A"/>
    <x v="18"/>
    <x v="1"/>
    <x v="0"/>
    <x v="1"/>
    <x v="2"/>
    <n v="95.98"/>
    <n v="10"/>
    <n v="259.14999999999998"/>
    <n v="73.569999999999993"/>
    <n v="32"/>
    <x v="1"/>
    <x v="1"/>
  </r>
  <r>
    <n v="100273"/>
    <x v="40"/>
    <s v="AD-8212-C"/>
    <x v="14"/>
    <x v="1"/>
    <x v="3"/>
    <x v="0"/>
    <x v="1"/>
    <n v="220.53"/>
    <n v="5"/>
    <n v="419.01"/>
    <n v="123.73"/>
    <n v="29"/>
    <x v="0"/>
    <x v="4"/>
  </r>
  <r>
    <n v="100966"/>
    <x v="285"/>
    <s v="AD-4846-D"/>
    <x v="7"/>
    <x v="1"/>
    <x v="4"/>
    <x v="0"/>
    <x v="1"/>
    <n v="161.53"/>
    <n v="10"/>
    <n v="290.75"/>
    <n v="75.05"/>
    <n v="16"/>
    <x v="1"/>
    <x v="7"/>
  </r>
  <r>
    <n v="100237"/>
    <x v="286"/>
    <s v="AD-5516-B"/>
    <x v="8"/>
    <x v="2"/>
    <x v="1"/>
    <x v="0"/>
    <x v="1"/>
    <n v="13.78"/>
    <n v="5"/>
    <n v="26.18"/>
    <n v="8.6999999999999993"/>
    <n v="23"/>
    <x v="1"/>
    <x v="3"/>
  </r>
  <r>
    <n v="100405"/>
    <x v="287"/>
    <s v="AD-1313-B"/>
    <x v="9"/>
    <x v="2"/>
    <x v="4"/>
    <x v="3"/>
    <x v="2"/>
    <n v="19.11"/>
    <n v="5"/>
    <n v="54.46"/>
    <n v="20.02"/>
    <n v="30"/>
    <x v="0"/>
    <x v="2"/>
  </r>
  <r>
    <n v="100002"/>
    <x v="288"/>
    <s v="AD-5552-B"/>
    <x v="1"/>
    <x v="0"/>
    <x v="4"/>
    <x v="2"/>
    <x v="2"/>
    <n v="23.86"/>
    <n v="0"/>
    <n v="71.58"/>
    <n v="16.07"/>
    <n v="21"/>
    <x v="0"/>
    <x v="4"/>
  </r>
  <r>
    <n v="100006"/>
    <x v="289"/>
    <s v="AD-3803-B"/>
    <x v="11"/>
    <x v="0"/>
    <x v="1"/>
    <x v="1"/>
    <x v="1"/>
    <n v="30.7"/>
    <n v="20"/>
    <n v="49.12"/>
    <n v="11.88"/>
    <n v="25"/>
    <x v="0"/>
    <x v="1"/>
  </r>
  <r>
    <n v="100311"/>
    <x v="290"/>
    <s v="AD-2463-A"/>
    <x v="18"/>
    <x v="1"/>
    <x v="1"/>
    <x v="0"/>
    <x v="2"/>
    <n v="81.489999999999995"/>
    <n v="0"/>
    <n v="244.47"/>
    <n v="98.55"/>
    <n v="21"/>
    <x v="1"/>
    <x v="2"/>
  </r>
  <r>
    <n v="101090"/>
    <x v="146"/>
    <s v="AD-5589-C"/>
    <x v="2"/>
    <x v="1"/>
    <x v="1"/>
    <x v="0"/>
    <x v="1"/>
    <n v="88.81"/>
    <n v="5"/>
    <n v="168.74"/>
    <n v="52.11"/>
    <n v="30"/>
    <x v="1"/>
    <x v="1"/>
  </r>
  <r>
    <n v="100451"/>
    <x v="291"/>
    <s v="AD-2200-A"/>
    <x v="2"/>
    <x v="1"/>
    <x v="4"/>
    <x v="1"/>
    <x v="3"/>
    <n v="96.41"/>
    <n v="0"/>
    <n v="96.41"/>
    <n v="36.99"/>
    <n v="40"/>
    <x v="1"/>
    <x v="1"/>
  </r>
  <r>
    <n v="100721"/>
    <x v="292"/>
    <s v="AD-2959-C"/>
    <x v="11"/>
    <x v="0"/>
    <x v="0"/>
    <x v="2"/>
    <x v="1"/>
    <n v="31.42"/>
    <n v="0"/>
    <n v="62.84"/>
    <n v="15.89"/>
    <n v="23"/>
    <x v="0"/>
    <x v="5"/>
  </r>
  <r>
    <n v="100215"/>
    <x v="293"/>
    <s v="AD-2294-C"/>
    <x v="12"/>
    <x v="0"/>
    <x v="3"/>
    <x v="2"/>
    <x v="5"/>
    <n v="143.68"/>
    <n v="0"/>
    <n v="862.08"/>
    <n v="302.91000000000003"/>
    <n v="20"/>
    <x v="1"/>
    <x v="0"/>
  </r>
  <r>
    <n v="101085"/>
    <x v="294"/>
    <s v="AD-1388-D"/>
    <x v="18"/>
    <x v="1"/>
    <x v="2"/>
    <x v="1"/>
    <x v="4"/>
    <n v="67.959999999999994"/>
    <n v="5"/>
    <n v="258.25"/>
    <n v="117.48"/>
    <n v="27"/>
    <x v="1"/>
    <x v="3"/>
  </r>
  <r>
    <n v="100027"/>
    <x v="295"/>
    <s v="AD-4044-A"/>
    <x v="9"/>
    <x v="2"/>
    <x v="2"/>
    <x v="0"/>
    <x v="0"/>
    <n v="21.43"/>
    <n v="0"/>
    <n v="107.15"/>
    <n v="45.59"/>
    <n v="50"/>
    <x v="0"/>
    <x v="1"/>
  </r>
  <r>
    <n v="101157"/>
    <x v="296"/>
    <s v="AD-2544-B"/>
    <x v="7"/>
    <x v="1"/>
    <x v="1"/>
    <x v="0"/>
    <x v="1"/>
    <n v="165.61"/>
    <n v="0"/>
    <n v="331.22"/>
    <n v="93.05"/>
    <n v="19"/>
    <x v="0"/>
    <x v="7"/>
  </r>
  <r>
    <n v="100361"/>
    <x v="297"/>
    <s v="AD-2661-D"/>
    <x v="4"/>
    <x v="2"/>
    <x v="2"/>
    <x v="1"/>
    <x v="4"/>
    <n v="70.709999999999994"/>
    <n v="0"/>
    <n v="282.83999999999997"/>
    <n v="77.739999999999995"/>
    <n v="25"/>
    <x v="1"/>
    <x v="2"/>
  </r>
  <r>
    <n v="100822"/>
    <x v="275"/>
    <s v="AD-7815-D"/>
    <x v="2"/>
    <x v="1"/>
    <x v="4"/>
    <x v="0"/>
    <x v="3"/>
    <n v="98.91"/>
    <n v="0"/>
    <n v="98.91"/>
    <n v="33.729999999999997"/>
    <n v="22"/>
    <x v="0"/>
    <x v="1"/>
  </r>
  <r>
    <n v="100780"/>
    <x v="298"/>
    <s v="AD-5289-B"/>
    <x v="8"/>
    <x v="2"/>
    <x v="0"/>
    <x v="2"/>
    <x v="2"/>
    <n v="14.79"/>
    <n v="0"/>
    <n v="44.37"/>
    <n v="16.170000000000002"/>
    <n v="29"/>
    <x v="0"/>
    <x v="6"/>
  </r>
  <r>
    <n v="100628"/>
    <x v="299"/>
    <s v="AD-8294-B"/>
    <x v="17"/>
    <x v="2"/>
    <x v="4"/>
    <x v="1"/>
    <x v="4"/>
    <n v="41.47"/>
    <n v="0"/>
    <n v="165.88"/>
    <n v="43.36"/>
    <n v="16"/>
    <x v="1"/>
    <x v="1"/>
  </r>
  <r>
    <n v="100453"/>
    <x v="268"/>
    <s v="AD-1745-A"/>
    <x v="13"/>
    <x v="0"/>
    <x v="0"/>
    <x v="1"/>
    <x v="2"/>
    <n v="129.72999999999999"/>
    <n v="10"/>
    <n v="350.27"/>
    <n v="119.46"/>
    <n v="32"/>
    <x v="0"/>
    <x v="1"/>
  </r>
  <r>
    <n v="100738"/>
    <x v="300"/>
    <s v="AD-8793-C"/>
    <x v="3"/>
    <x v="2"/>
    <x v="1"/>
    <x v="3"/>
    <x v="1"/>
    <n v="21.15"/>
    <n v="20"/>
    <n v="33.840000000000003"/>
    <n v="12.52"/>
    <n v="29"/>
    <x v="1"/>
    <x v="1"/>
  </r>
  <r>
    <n v="100535"/>
    <x v="301"/>
    <s v="AD-2850-B"/>
    <x v="9"/>
    <x v="2"/>
    <x v="4"/>
    <x v="2"/>
    <x v="1"/>
    <n v="22.95"/>
    <n v="0"/>
    <n v="45.9"/>
    <n v="16.100000000000001"/>
    <n v="33"/>
    <x v="0"/>
    <x v="6"/>
  </r>
  <r>
    <n v="101049"/>
    <x v="302"/>
    <s v="AD-6317-A"/>
    <x v="5"/>
    <x v="0"/>
    <x v="4"/>
    <x v="0"/>
    <x v="4"/>
    <n v="75.430000000000007"/>
    <n v="0"/>
    <n v="301.72000000000003"/>
    <n v="100.75"/>
    <n v="30"/>
    <x v="0"/>
    <x v="4"/>
  </r>
  <r>
    <n v="100398"/>
    <x v="303"/>
    <s v="AD-3250-B"/>
    <x v="18"/>
    <x v="1"/>
    <x v="1"/>
    <x v="0"/>
    <x v="2"/>
    <n v="67.58"/>
    <n v="0"/>
    <n v="202.74"/>
    <n v="58.89"/>
    <n v="34"/>
    <x v="1"/>
    <x v="3"/>
  </r>
  <r>
    <n v="100256"/>
    <x v="304"/>
    <s v="AD-1280-D"/>
    <x v="6"/>
    <x v="1"/>
    <x v="1"/>
    <x v="0"/>
    <x v="0"/>
    <n v="172.7"/>
    <n v="0"/>
    <n v="863.5"/>
    <n v="208.49"/>
    <n v="25"/>
    <x v="0"/>
    <x v="0"/>
  </r>
  <r>
    <n v="100291"/>
    <x v="305"/>
    <s v="AD-3258-D"/>
    <x v="5"/>
    <x v="0"/>
    <x v="4"/>
    <x v="1"/>
    <x v="2"/>
    <n v="68.91"/>
    <n v="5"/>
    <n v="196.39"/>
    <n v="41.2"/>
    <n v="16"/>
    <x v="1"/>
    <x v="2"/>
  </r>
  <r>
    <n v="100025"/>
    <x v="202"/>
    <s v="AD-7930-D"/>
    <x v="12"/>
    <x v="0"/>
    <x v="1"/>
    <x v="3"/>
    <x v="1"/>
    <n v="134.36000000000001"/>
    <n v="10"/>
    <n v="241.85"/>
    <n v="45.22"/>
    <n v="30"/>
    <x v="0"/>
    <x v="0"/>
  </r>
  <r>
    <n v="100336"/>
    <x v="306"/>
    <s v="AD-6211-D"/>
    <x v="14"/>
    <x v="1"/>
    <x v="4"/>
    <x v="0"/>
    <x v="3"/>
    <n v="212.26"/>
    <n v="20"/>
    <n v="169.81"/>
    <n v="32.200000000000003"/>
    <n v="26"/>
    <x v="0"/>
    <x v="4"/>
  </r>
  <r>
    <n v="100584"/>
    <x v="65"/>
    <s v="AD-6323-D"/>
    <x v="16"/>
    <x v="1"/>
    <x v="4"/>
    <x v="3"/>
    <x v="1"/>
    <n v="34"/>
    <n v="0"/>
    <n v="68"/>
    <n v="20.12"/>
    <n v="24"/>
    <x v="2"/>
    <x v="5"/>
  </r>
  <r>
    <n v="100047"/>
    <x v="307"/>
    <s v="AD-8618-D"/>
    <x v="6"/>
    <x v="1"/>
    <x v="4"/>
    <x v="1"/>
    <x v="1"/>
    <n v="194.87"/>
    <n v="5"/>
    <n v="370.25"/>
    <n v="134.53"/>
    <n v="24"/>
    <x v="0"/>
    <x v="4"/>
  </r>
  <r>
    <n v="100318"/>
    <x v="308"/>
    <s v="AD-1273-A"/>
    <x v="17"/>
    <x v="2"/>
    <x v="1"/>
    <x v="0"/>
    <x v="4"/>
    <n v="37.880000000000003"/>
    <n v="5"/>
    <n v="143.94"/>
    <n v="27.05"/>
    <n v="29"/>
    <x v="1"/>
    <x v="1"/>
  </r>
  <r>
    <n v="100106"/>
    <x v="154"/>
    <s v="AD-7302-D"/>
    <x v="0"/>
    <x v="0"/>
    <x v="1"/>
    <x v="0"/>
    <x v="4"/>
    <n v="47.21"/>
    <n v="0"/>
    <n v="188.84"/>
    <n v="41.18"/>
    <n v="31"/>
    <x v="0"/>
    <x v="6"/>
  </r>
  <r>
    <n v="100798"/>
    <x v="309"/>
    <s v="AD-6323-B"/>
    <x v="1"/>
    <x v="0"/>
    <x v="4"/>
    <x v="3"/>
    <x v="4"/>
    <n v="24.24"/>
    <n v="0"/>
    <n v="96.96"/>
    <n v="30.33"/>
    <n v="16"/>
    <x v="0"/>
    <x v="5"/>
  </r>
  <r>
    <n v="100055"/>
    <x v="310"/>
    <s v="AD-6421-D"/>
    <x v="14"/>
    <x v="1"/>
    <x v="0"/>
    <x v="1"/>
    <x v="3"/>
    <n v="234.95"/>
    <n v="20"/>
    <n v="187.96"/>
    <n v="65.34"/>
    <n v="41"/>
    <x v="1"/>
    <x v="2"/>
  </r>
  <r>
    <n v="100522"/>
    <x v="311"/>
    <s v="AD-8480-D"/>
    <x v="8"/>
    <x v="2"/>
    <x v="1"/>
    <x v="0"/>
    <x v="1"/>
    <n v="14.5"/>
    <n v="0"/>
    <n v="29"/>
    <n v="7.69"/>
    <n v="29"/>
    <x v="0"/>
    <x v="3"/>
  </r>
  <r>
    <n v="100213"/>
    <x v="312"/>
    <s v="AD-4396-D"/>
    <x v="5"/>
    <x v="0"/>
    <x v="4"/>
    <x v="3"/>
    <x v="2"/>
    <n v="72.52"/>
    <n v="40"/>
    <n v="130.54"/>
    <n v="49.34"/>
    <n v="20"/>
    <x v="2"/>
    <x v="0"/>
  </r>
  <r>
    <n v="100120"/>
    <x v="281"/>
    <s v="AD-1349-A"/>
    <x v="16"/>
    <x v="1"/>
    <x v="3"/>
    <x v="2"/>
    <x v="2"/>
    <n v="33.35"/>
    <n v="0"/>
    <n v="100.05"/>
    <n v="29.35"/>
    <n v="21"/>
    <x v="1"/>
    <x v="6"/>
  </r>
  <r>
    <n v="100917"/>
    <x v="313"/>
    <s v="AD-5991-A"/>
    <x v="12"/>
    <x v="0"/>
    <x v="1"/>
    <x v="1"/>
    <x v="3"/>
    <n v="121.1"/>
    <n v="10"/>
    <n v="108.99"/>
    <n v="23.56"/>
    <n v="29"/>
    <x v="1"/>
    <x v="5"/>
  </r>
  <r>
    <n v="101067"/>
    <x v="314"/>
    <s v="AD-8885-D"/>
    <x v="13"/>
    <x v="0"/>
    <x v="4"/>
    <x v="0"/>
    <x v="2"/>
    <n v="119.28"/>
    <n v="0"/>
    <n v="357.84"/>
    <n v="121.1"/>
    <n v="32"/>
    <x v="1"/>
    <x v="2"/>
  </r>
  <r>
    <n v="101117"/>
    <x v="315"/>
    <s v="AD-3605-C"/>
    <x v="14"/>
    <x v="1"/>
    <x v="0"/>
    <x v="1"/>
    <x v="5"/>
    <n v="234.25"/>
    <n v="0"/>
    <n v="1405.5"/>
    <n v="364.55"/>
    <n v="46"/>
    <x v="0"/>
    <x v="0"/>
  </r>
  <r>
    <n v="100072"/>
    <x v="12"/>
    <s v="AD-9698-C"/>
    <x v="0"/>
    <x v="0"/>
    <x v="0"/>
    <x v="0"/>
    <x v="1"/>
    <n v="48.61"/>
    <n v="20"/>
    <n v="77.78"/>
    <n v="25.44"/>
    <n v="38"/>
    <x v="0"/>
    <x v="5"/>
  </r>
  <r>
    <n v="100947"/>
    <x v="90"/>
    <s v="AD-1853-B"/>
    <x v="13"/>
    <x v="0"/>
    <x v="0"/>
    <x v="0"/>
    <x v="4"/>
    <n v="127.11"/>
    <n v="20"/>
    <n v="406.75"/>
    <n v="136.83000000000001"/>
    <n v="26"/>
    <x v="1"/>
    <x v="6"/>
  </r>
  <r>
    <n v="100746"/>
    <x v="316"/>
    <s v="AD-1517-D"/>
    <x v="9"/>
    <x v="2"/>
    <x v="4"/>
    <x v="0"/>
    <x v="1"/>
    <n v="18.37"/>
    <n v="5"/>
    <n v="34.9"/>
    <n v="11.59"/>
    <n v="16"/>
    <x v="0"/>
    <x v="7"/>
  </r>
  <r>
    <n v="100715"/>
    <x v="317"/>
    <s v="AD-7786-B"/>
    <x v="4"/>
    <x v="2"/>
    <x v="4"/>
    <x v="2"/>
    <x v="2"/>
    <n v="57.29"/>
    <n v="0"/>
    <n v="171.87"/>
    <n v="70.94"/>
    <n v="33"/>
    <x v="0"/>
    <x v="2"/>
  </r>
  <r>
    <n v="100557"/>
    <x v="318"/>
    <s v="AD-5921-A"/>
    <x v="16"/>
    <x v="1"/>
    <x v="0"/>
    <x v="1"/>
    <x v="3"/>
    <n v="36.42"/>
    <n v="0"/>
    <n v="36.42"/>
    <n v="8.8699999999999992"/>
    <n v="49"/>
    <x v="1"/>
    <x v="1"/>
  </r>
  <r>
    <n v="101081"/>
    <x v="319"/>
    <s v="AD-9873-A"/>
    <x v="2"/>
    <x v="1"/>
    <x v="0"/>
    <x v="0"/>
    <x v="2"/>
    <n v="110.01"/>
    <n v="5"/>
    <n v="313.52999999999997"/>
    <n v="123.66"/>
    <n v="28"/>
    <x v="1"/>
    <x v="3"/>
  </r>
  <r>
    <n v="101045"/>
    <x v="251"/>
    <s v="AD-7393-D"/>
    <x v="8"/>
    <x v="2"/>
    <x v="3"/>
    <x v="0"/>
    <x v="4"/>
    <n v="17.440000000000001"/>
    <n v="0"/>
    <n v="69.760000000000005"/>
    <n v="33.71"/>
    <n v="28"/>
    <x v="0"/>
    <x v="2"/>
  </r>
  <r>
    <n v="100552"/>
    <x v="19"/>
    <s v="AD-4943-B"/>
    <x v="13"/>
    <x v="0"/>
    <x v="1"/>
    <x v="1"/>
    <x v="0"/>
    <n v="128.94999999999999"/>
    <n v="0"/>
    <n v="644.75"/>
    <n v="171.38"/>
    <n v="25"/>
    <x v="0"/>
    <x v="4"/>
  </r>
  <r>
    <n v="100561"/>
    <x v="104"/>
    <s v="AD-3425-B"/>
    <x v="3"/>
    <x v="2"/>
    <x v="0"/>
    <x v="0"/>
    <x v="3"/>
    <n v="17.79"/>
    <n v="0"/>
    <n v="17.79"/>
    <n v="5.36"/>
    <n v="45"/>
    <x v="1"/>
    <x v="2"/>
  </r>
  <r>
    <n v="100424"/>
    <x v="153"/>
    <s v="AD-1587-A"/>
    <x v="13"/>
    <x v="0"/>
    <x v="1"/>
    <x v="1"/>
    <x v="1"/>
    <n v="106.07"/>
    <n v="10"/>
    <n v="190.93"/>
    <n v="53.32"/>
    <n v="37"/>
    <x v="1"/>
    <x v="2"/>
  </r>
  <r>
    <n v="101013"/>
    <x v="249"/>
    <s v="AD-1866-C"/>
    <x v="6"/>
    <x v="1"/>
    <x v="0"/>
    <x v="1"/>
    <x v="2"/>
    <n v="196.56"/>
    <n v="0"/>
    <n v="589.67999999999995"/>
    <n v="194.21"/>
    <n v="24"/>
    <x v="1"/>
    <x v="0"/>
  </r>
  <r>
    <n v="100325"/>
    <x v="320"/>
    <s v="AD-7024-B"/>
    <x v="17"/>
    <x v="2"/>
    <x v="1"/>
    <x v="1"/>
    <x v="2"/>
    <n v="40.61"/>
    <n v="0"/>
    <n v="121.83"/>
    <n v="41.88"/>
    <n v="32"/>
    <x v="1"/>
    <x v="3"/>
  </r>
  <r>
    <n v="100923"/>
    <x v="321"/>
    <s v="AD-8539-D"/>
    <x v="12"/>
    <x v="0"/>
    <x v="4"/>
    <x v="0"/>
    <x v="2"/>
    <n v="143.41999999999999"/>
    <n v="0"/>
    <n v="430.26"/>
    <n v="137.33000000000001"/>
    <n v="37"/>
    <x v="0"/>
    <x v="5"/>
  </r>
  <r>
    <n v="100316"/>
    <x v="296"/>
    <s v="AD-9108-D"/>
    <x v="10"/>
    <x v="2"/>
    <x v="4"/>
    <x v="0"/>
    <x v="4"/>
    <n v="37.36"/>
    <n v="0"/>
    <n v="149.44"/>
    <n v="42.96"/>
    <n v="36"/>
    <x v="0"/>
    <x v="6"/>
  </r>
  <r>
    <n v="100803"/>
    <x v="322"/>
    <s v="AD-8112-D"/>
    <x v="1"/>
    <x v="0"/>
    <x v="1"/>
    <x v="1"/>
    <x v="2"/>
    <n v="26.21"/>
    <n v="0"/>
    <n v="78.63"/>
    <n v="21.36"/>
    <n v="39"/>
    <x v="0"/>
    <x v="3"/>
  </r>
  <r>
    <n v="101162"/>
    <x v="229"/>
    <s v="AD-6747-C"/>
    <x v="14"/>
    <x v="1"/>
    <x v="4"/>
    <x v="2"/>
    <x v="3"/>
    <n v="214.74"/>
    <n v="0"/>
    <n v="214.74"/>
    <n v="60.58"/>
    <n v="18"/>
    <x v="1"/>
    <x v="5"/>
  </r>
  <r>
    <n v="100528"/>
    <x v="323"/>
    <s v="AD-5458-D"/>
    <x v="16"/>
    <x v="1"/>
    <x v="4"/>
    <x v="0"/>
    <x v="2"/>
    <n v="38.49"/>
    <n v="0"/>
    <n v="115.47"/>
    <n v="34.28"/>
    <n v="25"/>
    <x v="0"/>
    <x v="5"/>
  </r>
  <r>
    <n v="100836"/>
    <x v="324"/>
    <s v="AD-2380-A"/>
    <x v="11"/>
    <x v="0"/>
    <x v="0"/>
    <x v="0"/>
    <x v="2"/>
    <n v="33.74"/>
    <n v="0"/>
    <n v="101.22"/>
    <n v="31.5"/>
    <n v="36"/>
    <x v="1"/>
    <x v="0"/>
  </r>
  <r>
    <n v="100714"/>
    <x v="325"/>
    <s v="AD-4533-D"/>
    <x v="11"/>
    <x v="0"/>
    <x v="1"/>
    <x v="0"/>
    <x v="1"/>
    <n v="31.34"/>
    <n v="10"/>
    <n v="56.41"/>
    <n v="15.34"/>
    <n v="40"/>
    <x v="1"/>
    <x v="1"/>
  </r>
  <r>
    <n v="100900"/>
    <x v="326"/>
    <s v="AD-5006-A"/>
    <x v="14"/>
    <x v="1"/>
    <x v="4"/>
    <x v="0"/>
    <x v="4"/>
    <n v="213.99"/>
    <n v="0"/>
    <n v="855.96"/>
    <n v="293.89999999999998"/>
    <n v="29"/>
    <x v="1"/>
    <x v="2"/>
  </r>
  <r>
    <n v="100060"/>
    <x v="327"/>
    <s v="AD-5558-D"/>
    <x v="15"/>
    <x v="1"/>
    <x v="1"/>
    <x v="1"/>
    <x v="1"/>
    <n v="172.95"/>
    <n v="40"/>
    <n v="207.54"/>
    <n v="73.319999999999993"/>
    <n v="39"/>
    <x v="1"/>
    <x v="2"/>
  </r>
  <r>
    <n v="100722"/>
    <x v="180"/>
    <s v="AD-3219-C"/>
    <x v="17"/>
    <x v="2"/>
    <x v="4"/>
    <x v="1"/>
    <x v="3"/>
    <n v="39.979999999999997"/>
    <n v="10"/>
    <n v="35.979999999999997"/>
    <n v="11.33"/>
    <n v="33"/>
    <x v="1"/>
    <x v="5"/>
  </r>
  <r>
    <n v="100092"/>
    <x v="328"/>
    <s v="AD-7684-A"/>
    <x v="6"/>
    <x v="1"/>
    <x v="0"/>
    <x v="0"/>
    <x v="1"/>
    <n v="180.41"/>
    <n v="0"/>
    <n v="360.82"/>
    <n v="125.72"/>
    <n v="42"/>
    <x v="1"/>
    <x v="7"/>
  </r>
  <r>
    <n v="100857"/>
    <x v="101"/>
    <s v="AD-5187-A"/>
    <x v="1"/>
    <x v="0"/>
    <x v="3"/>
    <x v="1"/>
    <x v="3"/>
    <n v="23.3"/>
    <n v="10"/>
    <n v="20.97"/>
    <n v="6.89"/>
    <n v="25"/>
    <x v="1"/>
    <x v="3"/>
  </r>
  <r>
    <n v="100618"/>
    <x v="169"/>
    <s v="AD-6218-C"/>
    <x v="18"/>
    <x v="1"/>
    <x v="0"/>
    <x v="1"/>
    <x v="5"/>
    <n v="96.78"/>
    <n v="10"/>
    <n v="522.61"/>
    <n v="175.15"/>
    <n v="26"/>
    <x v="1"/>
    <x v="4"/>
  </r>
  <r>
    <n v="100351"/>
    <x v="329"/>
    <s v="AD-6761-B"/>
    <x v="7"/>
    <x v="1"/>
    <x v="0"/>
    <x v="2"/>
    <x v="4"/>
    <n v="137.62"/>
    <n v="20"/>
    <n v="440.38"/>
    <n v="108.09"/>
    <n v="26"/>
    <x v="0"/>
    <x v="7"/>
  </r>
  <r>
    <n v="100932"/>
    <x v="330"/>
    <s v="AD-9721-B"/>
    <x v="6"/>
    <x v="1"/>
    <x v="4"/>
    <x v="0"/>
    <x v="4"/>
    <n v="158.80000000000001"/>
    <n v="0"/>
    <n v="635.20000000000005"/>
    <n v="146.93"/>
    <n v="20"/>
    <x v="1"/>
    <x v="7"/>
  </r>
  <r>
    <n v="100280"/>
    <x v="331"/>
    <s v="AD-6432-D"/>
    <x v="5"/>
    <x v="0"/>
    <x v="1"/>
    <x v="1"/>
    <x v="1"/>
    <n v="69.319999999999993"/>
    <n v="0"/>
    <n v="138.63999999999999"/>
    <n v="42.31"/>
    <n v="35"/>
    <x v="1"/>
    <x v="2"/>
  </r>
  <r>
    <n v="100420"/>
    <x v="332"/>
    <s v="AD-8895-C"/>
    <x v="13"/>
    <x v="0"/>
    <x v="0"/>
    <x v="1"/>
    <x v="5"/>
    <n v="107.1"/>
    <n v="0"/>
    <n v="642.6"/>
    <n v="118.11"/>
    <n v="33"/>
    <x v="1"/>
    <x v="6"/>
  </r>
  <r>
    <n v="101114"/>
    <x v="74"/>
    <s v="AD-6490-B"/>
    <x v="4"/>
    <x v="2"/>
    <x v="4"/>
    <x v="1"/>
    <x v="3"/>
    <n v="53.66"/>
    <n v="10"/>
    <n v="48.29"/>
    <n v="18.54"/>
    <n v="27"/>
    <x v="0"/>
    <x v="4"/>
  </r>
  <r>
    <n v="100359"/>
    <x v="333"/>
    <s v="AD-6500-D"/>
    <x v="13"/>
    <x v="0"/>
    <x v="4"/>
    <x v="3"/>
    <x v="0"/>
    <n v="122.2"/>
    <n v="0"/>
    <n v="611"/>
    <n v="167.15"/>
    <n v="33"/>
    <x v="1"/>
    <x v="1"/>
  </r>
  <r>
    <n v="100422"/>
    <x v="209"/>
    <s v="AD-1824-B"/>
    <x v="9"/>
    <x v="2"/>
    <x v="4"/>
    <x v="1"/>
    <x v="0"/>
    <n v="21.28"/>
    <n v="0"/>
    <n v="106.4"/>
    <n v="40.22"/>
    <n v="23"/>
    <x v="1"/>
    <x v="0"/>
  </r>
  <r>
    <n v="100678"/>
    <x v="334"/>
    <s v="AD-8605-B"/>
    <x v="18"/>
    <x v="1"/>
    <x v="3"/>
    <x v="1"/>
    <x v="5"/>
    <n v="89.06"/>
    <n v="0"/>
    <n v="534.36"/>
    <n v="143.36000000000001"/>
    <n v="29"/>
    <x v="0"/>
    <x v="6"/>
  </r>
  <r>
    <n v="100526"/>
    <x v="166"/>
    <s v="AD-7467-B"/>
    <x v="5"/>
    <x v="0"/>
    <x v="1"/>
    <x v="0"/>
    <x v="0"/>
    <n v="73.03"/>
    <n v="0"/>
    <n v="365.15"/>
    <n v="138.19999999999999"/>
    <n v="27"/>
    <x v="0"/>
    <x v="2"/>
  </r>
  <r>
    <n v="100477"/>
    <x v="335"/>
    <s v="AD-3979-C"/>
    <x v="19"/>
    <x v="1"/>
    <x v="2"/>
    <x v="0"/>
    <x v="1"/>
    <n v="123.83"/>
    <n v="0"/>
    <n v="247.66"/>
    <n v="75.69"/>
    <n v="33"/>
    <x v="0"/>
    <x v="3"/>
  </r>
  <r>
    <n v="101094"/>
    <x v="336"/>
    <s v="AD-5762-D"/>
    <x v="15"/>
    <x v="1"/>
    <x v="4"/>
    <x v="2"/>
    <x v="4"/>
    <n v="129.38"/>
    <n v="0"/>
    <n v="517.52"/>
    <n v="124.13"/>
    <n v="18"/>
    <x v="1"/>
    <x v="1"/>
  </r>
  <r>
    <n v="100182"/>
    <x v="337"/>
    <s v="AD-3513-D"/>
    <x v="2"/>
    <x v="1"/>
    <x v="0"/>
    <x v="0"/>
    <x v="2"/>
    <n v="99.33"/>
    <n v="20"/>
    <n v="238.39"/>
    <n v="76.849999999999994"/>
    <n v="39"/>
    <x v="0"/>
    <x v="7"/>
  </r>
  <r>
    <n v="101091"/>
    <x v="126"/>
    <s v="AD-8242-B"/>
    <x v="2"/>
    <x v="1"/>
    <x v="0"/>
    <x v="1"/>
    <x v="2"/>
    <n v="97.04"/>
    <n v="10"/>
    <n v="262.01"/>
    <n v="102.99"/>
    <n v="22"/>
    <x v="2"/>
    <x v="0"/>
  </r>
  <r>
    <n v="100432"/>
    <x v="22"/>
    <s v="AD-9259-D"/>
    <x v="17"/>
    <x v="2"/>
    <x v="0"/>
    <x v="0"/>
    <x v="2"/>
    <n v="38.090000000000003"/>
    <n v="20"/>
    <n v="91.42"/>
    <n v="31.63"/>
    <n v="33"/>
    <x v="0"/>
    <x v="4"/>
  </r>
  <r>
    <n v="100110"/>
    <x v="338"/>
    <s v="AD-7807-B"/>
    <x v="3"/>
    <x v="2"/>
    <x v="1"/>
    <x v="0"/>
    <x v="2"/>
    <n v="17.64"/>
    <n v="10"/>
    <n v="47.63"/>
    <n v="20.059999999999999"/>
    <n v="30"/>
    <x v="0"/>
    <x v="4"/>
  </r>
  <r>
    <n v="100370"/>
    <x v="339"/>
    <s v="AD-9871-D"/>
    <x v="1"/>
    <x v="0"/>
    <x v="4"/>
    <x v="1"/>
    <x v="4"/>
    <n v="24.73"/>
    <n v="0"/>
    <n v="98.92"/>
    <n v="33.65"/>
    <n v="45"/>
    <x v="1"/>
    <x v="4"/>
  </r>
  <r>
    <n v="100239"/>
    <x v="340"/>
    <s v="AD-1724-D"/>
    <x v="18"/>
    <x v="1"/>
    <x v="1"/>
    <x v="1"/>
    <x v="0"/>
    <n v="76.77"/>
    <n v="0"/>
    <n v="383.85"/>
    <n v="117.01"/>
    <n v="24"/>
    <x v="0"/>
    <x v="6"/>
  </r>
  <r>
    <n v="100708"/>
    <x v="341"/>
    <s v="AD-6246-B"/>
    <x v="0"/>
    <x v="0"/>
    <x v="4"/>
    <x v="3"/>
    <x v="2"/>
    <n v="57.58"/>
    <n v="10"/>
    <n v="155.47"/>
    <n v="39.68"/>
    <n v="42"/>
    <x v="0"/>
    <x v="5"/>
  </r>
  <r>
    <n v="100629"/>
    <x v="342"/>
    <s v="AD-6364-D"/>
    <x v="12"/>
    <x v="0"/>
    <x v="4"/>
    <x v="2"/>
    <x v="4"/>
    <n v="124.82"/>
    <n v="10"/>
    <n v="449.35"/>
    <n v="136.62"/>
    <n v="31"/>
    <x v="0"/>
    <x v="2"/>
  </r>
  <r>
    <n v="100593"/>
    <x v="171"/>
    <s v="AD-3155-B"/>
    <x v="0"/>
    <x v="0"/>
    <x v="0"/>
    <x v="0"/>
    <x v="1"/>
    <n v="53.17"/>
    <n v="5"/>
    <n v="101.02"/>
    <n v="20.3"/>
    <n v="36"/>
    <x v="0"/>
    <x v="1"/>
  </r>
  <r>
    <n v="100485"/>
    <x v="40"/>
    <s v="AD-5514-D"/>
    <x v="14"/>
    <x v="1"/>
    <x v="0"/>
    <x v="0"/>
    <x v="2"/>
    <n v="211.95"/>
    <n v="5"/>
    <n v="604.05999999999995"/>
    <n v="172.89"/>
    <n v="37"/>
    <x v="1"/>
    <x v="4"/>
  </r>
  <r>
    <n v="100700"/>
    <x v="50"/>
    <s v="AD-5521-A"/>
    <x v="2"/>
    <x v="1"/>
    <x v="4"/>
    <x v="3"/>
    <x v="0"/>
    <n v="89.74"/>
    <n v="5"/>
    <n v="426.26"/>
    <n v="85.91"/>
    <n v="28"/>
    <x v="1"/>
    <x v="3"/>
  </r>
  <r>
    <n v="100261"/>
    <x v="343"/>
    <s v="AD-3938-C"/>
    <x v="17"/>
    <x v="2"/>
    <x v="4"/>
    <x v="0"/>
    <x v="5"/>
    <n v="39.33"/>
    <n v="5"/>
    <n v="224.18"/>
    <n v="84.62"/>
    <n v="26"/>
    <x v="0"/>
    <x v="7"/>
  </r>
  <r>
    <n v="100479"/>
    <x v="344"/>
    <s v="AD-3906-D"/>
    <x v="10"/>
    <x v="2"/>
    <x v="1"/>
    <x v="0"/>
    <x v="4"/>
    <n v="40.33"/>
    <n v="0"/>
    <n v="161.32"/>
    <n v="56.08"/>
    <n v="22"/>
    <x v="1"/>
    <x v="1"/>
  </r>
  <r>
    <n v="100649"/>
    <x v="345"/>
    <s v="AD-8803-B"/>
    <x v="1"/>
    <x v="0"/>
    <x v="4"/>
    <x v="0"/>
    <x v="1"/>
    <n v="22.33"/>
    <n v="0"/>
    <n v="44.66"/>
    <n v="11.29"/>
    <n v="28"/>
    <x v="1"/>
    <x v="0"/>
  </r>
  <r>
    <n v="100339"/>
    <x v="346"/>
    <s v="AD-4522-C"/>
    <x v="18"/>
    <x v="1"/>
    <x v="0"/>
    <x v="0"/>
    <x v="2"/>
    <n v="81.069999999999993"/>
    <n v="10"/>
    <n v="218.89"/>
    <n v="63.91"/>
    <n v="35"/>
    <x v="0"/>
    <x v="7"/>
  </r>
  <r>
    <n v="100668"/>
    <x v="347"/>
    <s v="AD-9791-B"/>
    <x v="13"/>
    <x v="0"/>
    <x v="4"/>
    <x v="0"/>
    <x v="2"/>
    <n v="113.96"/>
    <n v="0"/>
    <n v="341.88"/>
    <n v="80.36"/>
    <n v="45"/>
    <x v="0"/>
    <x v="5"/>
  </r>
  <r>
    <n v="100551"/>
    <x v="348"/>
    <s v="AD-6772-C"/>
    <x v="7"/>
    <x v="1"/>
    <x v="1"/>
    <x v="1"/>
    <x v="0"/>
    <n v="160.13"/>
    <n v="0"/>
    <n v="800.65"/>
    <n v="202.21"/>
    <n v="43"/>
    <x v="1"/>
    <x v="5"/>
  </r>
  <r>
    <n v="100458"/>
    <x v="349"/>
    <s v="AD-3971-A"/>
    <x v="10"/>
    <x v="2"/>
    <x v="4"/>
    <x v="1"/>
    <x v="2"/>
    <n v="45.06"/>
    <n v="10"/>
    <n v="121.66"/>
    <n v="39.409999999999997"/>
    <n v="25"/>
    <x v="1"/>
    <x v="1"/>
  </r>
  <r>
    <n v="100183"/>
    <x v="313"/>
    <s v="AD-6150-C"/>
    <x v="11"/>
    <x v="0"/>
    <x v="0"/>
    <x v="1"/>
    <x v="1"/>
    <n v="31.18"/>
    <n v="5"/>
    <n v="59.24"/>
    <n v="17.920000000000002"/>
    <n v="23"/>
    <x v="1"/>
    <x v="2"/>
  </r>
  <r>
    <n v="100137"/>
    <x v="192"/>
    <s v="AD-1815-A"/>
    <x v="13"/>
    <x v="0"/>
    <x v="0"/>
    <x v="0"/>
    <x v="2"/>
    <n v="103.58"/>
    <n v="0"/>
    <n v="310.74"/>
    <n v="62.98"/>
    <n v="30"/>
    <x v="1"/>
    <x v="3"/>
  </r>
  <r>
    <n v="101160"/>
    <x v="37"/>
    <s v="AD-8763-A"/>
    <x v="1"/>
    <x v="0"/>
    <x v="4"/>
    <x v="1"/>
    <x v="2"/>
    <n v="25.83"/>
    <n v="0"/>
    <n v="77.489999999999995"/>
    <n v="27.12"/>
    <n v="37"/>
    <x v="1"/>
    <x v="4"/>
  </r>
  <r>
    <n v="100706"/>
    <x v="350"/>
    <s v="AD-5266-C"/>
    <x v="14"/>
    <x v="1"/>
    <x v="4"/>
    <x v="3"/>
    <x v="1"/>
    <n v="203.8"/>
    <n v="20"/>
    <n v="326.08"/>
    <n v="89.79"/>
    <n v="22"/>
    <x v="0"/>
    <x v="5"/>
  </r>
  <r>
    <n v="100581"/>
    <x v="351"/>
    <s v="AD-4783-B"/>
    <x v="1"/>
    <x v="0"/>
    <x v="4"/>
    <x v="0"/>
    <x v="3"/>
    <n v="24.55"/>
    <n v="20"/>
    <n v="19.64"/>
    <n v="6.73"/>
    <n v="43"/>
    <x v="1"/>
    <x v="0"/>
  </r>
  <r>
    <n v="100080"/>
    <x v="352"/>
    <s v="AD-4404-B"/>
    <x v="17"/>
    <x v="2"/>
    <x v="1"/>
    <x v="1"/>
    <x v="0"/>
    <n v="40.369999999999997"/>
    <n v="0"/>
    <n v="201.85"/>
    <n v="88.53"/>
    <n v="35"/>
    <x v="0"/>
    <x v="1"/>
  </r>
  <r>
    <n v="100768"/>
    <x v="353"/>
    <s v="AD-9034-C"/>
    <x v="14"/>
    <x v="1"/>
    <x v="4"/>
    <x v="0"/>
    <x v="2"/>
    <n v="238.57"/>
    <n v="10"/>
    <n v="644.14"/>
    <n v="187.22"/>
    <n v="39"/>
    <x v="1"/>
    <x v="7"/>
  </r>
  <r>
    <n v="100869"/>
    <x v="354"/>
    <s v="AD-9816-A"/>
    <x v="6"/>
    <x v="1"/>
    <x v="1"/>
    <x v="2"/>
    <x v="4"/>
    <n v="179.15"/>
    <n v="0"/>
    <n v="716.6"/>
    <n v="314.19"/>
    <n v="25"/>
    <x v="0"/>
    <x v="2"/>
  </r>
  <r>
    <n v="100761"/>
    <x v="138"/>
    <s v="AD-5201-B"/>
    <x v="2"/>
    <x v="1"/>
    <x v="2"/>
    <x v="0"/>
    <x v="2"/>
    <n v="107.31"/>
    <n v="0"/>
    <n v="321.93"/>
    <n v="90.73"/>
    <n v="16"/>
    <x v="1"/>
    <x v="3"/>
  </r>
  <r>
    <n v="100029"/>
    <x v="171"/>
    <s v="AD-4910-C"/>
    <x v="17"/>
    <x v="2"/>
    <x v="1"/>
    <x v="0"/>
    <x v="4"/>
    <n v="40.950000000000003"/>
    <n v="0"/>
    <n v="163.80000000000001"/>
    <n v="57.41"/>
    <n v="24"/>
    <x v="0"/>
    <x v="4"/>
  </r>
  <r>
    <n v="100541"/>
    <x v="355"/>
    <s v="AD-2128-B"/>
    <x v="11"/>
    <x v="0"/>
    <x v="1"/>
    <x v="2"/>
    <x v="2"/>
    <n v="28.77"/>
    <n v="5"/>
    <n v="81.99"/>
    <n v="22.73"/>
    <n v="26"/>
    <x v="0"/>
    <x v="3"/>
  </r>
  <r>
    <n v="100165"/>
    <x v="356"/>
    <s v="AD-7142-B"/>
    <x v="6"/>
    <x v="1"/>
    <x v="1"/>
    <x v="0"/>
    <x v="2"/>
    <n v="161.88999999999999"/>
    <n v="5"/>
    <n v="461.39"/>
    <n v="126.48"/>
    <n v="31"/>
    <x v="1"/>
    <x v="1"/>
  </r>
  <r>
    <n v="100248"/>
    <x v="357"/>
    <s v="AD-4974-B"/>
    <x v="6"/>
    <x v="1"/>
    <x v="4"/>
    <x v="1"/>
    <x v="1"/>
    <n v="200.02"/>
    <n v="20"/>
    <n v="320.02999999999997"/>
    <n v="104.93"/>
    <n v="21"/>
    <x v="0"/>
    <x v="5"/>
  </r>
  <r>
    <n v="100307"/>
    <x v="68"/>
    <s v="AD-4314-B"/>
    <x v="3"/>
    <x v="2"/>
    <x v="2"/>
    <x v="0"/>
    <x v="4"/>
    <n v="16.940000000000001"/>
    <n v="10"/>
    <n v="60.98"/>
    <n v="24.56"/>
    <n v="34"/>
    <x v="1"/>
    <x v="2"/>
  </r>
  <r>
    <n v="100447"/>
    <x v="358"/>
    <s v="AD-1653-C"/>
    <x v="6"/>
    <x v="1"/>
    <x v="1"/>
    <x v="0"/>
    <x v="1"/>
    <n v="181.12"/>
    <n v="10"/>
    <n v="326.02"/>
    <n v="122.48"/>
    <n v="25"/>
    <x v="0"/>
    <x v="6"/>
  </r>
  <r>
    <n v="100346"/>
    <x v="291"/>
    <s v="AD-3248-D"/>
    <x v="0"/>
    <x v="0"/>
    <x v="2"/>
    <x v="1"/>
    <x v="4"/>
    <n v="55.74"/>
    <n v="5"/>
    <n v="211.81"/>
    <n v="64.92"/>
    <n v="35"/>
    <x v="1"/>
    <x v="2"/>
  </r>
  <r>
    <n v="100334"/>
    <x v="359"/>
    <s v="AD-9515-D"/>
    <x v="15"/>
    <x v="1"/>
    <x v="4"/>
    <x v="0"/>
    <x v="3"/>
    <n v="150.91"/>
    <n v="0"/>
    <n v="150.91"/>
    <n v="33.19"/>
    <n v="27"/>
    <x v="1"/>
    <x v="6"/>
  </r>
  <r>
    <n v="100285"/>
    <x v="110"/>
    <s v="AD-4996-B"/>
    <x v="15"/>
    <x v="1"/>
    <x v="4"/>
    <x v="2"/>
    <x v="2"/>
    <n v="157.11000000000001"/>
    <n v="0"/>
    <n v="471.33"/>
    <n v="167.7"/>
    <n v="24"/>
    <x v="0"/>
    <x v="3"/>
  </r>
  <r>
    <n v="100949"/>
    <x v="360"/>
    <s v="AD-5966-C"/>
    <x v="3"/>
    <x v="2"/>
    <x v="0"/>
    <x v="0"/>
    <x v="1"/>
    <n v="18"/>
    <n v="5"/>
    <n v="34.200000000000003"/>
    <n v="10.24"/>
    <n v="16"/>
    <x v="1"/>
    <x v="6"/>
  </r>
  <r>
    <n v="100097"/>
    <x v="283"/>
    <s v="AD-7325-B"/>
    <x v="12"/>
    <x v="0"/>
    <x v="0"/>
    <x v="0"/>
    <x v="2"/>
    <n v="124.51"/>
    <n v="20"/>
    <n v="298.82"/>
    <n v="84.17"/>
    <n v="31"/>
    <x v="0"/>
    <x v="2"/>
  </r>
  <r>
    <n v="100467"/>
    <x v="361"/>
    <s v="AD-9423-B"/>
    <x v="10"/>
    <x v="2"/>
    <x v="1"/>
    <x v="0"/>
    <x v="3"/>
    <n v="44.94"/>
    <n v="10"/>
    <n v="40.450000000000003"/>
    <n v="11.95"/>
    <n v="41"/>
    <x v="1"/>
    <x v="3"/>
  </r>
  <r>
    <n v="101036"/>
    <x v="362"/>
    <s v="AD-6751-D"/>
    <x v="15"/>
    <x v="1"/>
    <x v="0"/>
    <x v="0"/>
    <x v="0"/>
    <n v="165.79"/>
    <n v="0"/>
    <n v="828.95"/>
    <n v="257.41000000000003"/>
    <n v="29"/>
    <x v="1"/>
    <x v="0"/>
  </r>
  <r>
    <n v="100912"/>
    <x v="239"/>
    <s v="AD-8559-C"/>
    <x v="12"/>
    <x v="0"/>
    <x v="0"/>
    <x v="0"/>
    <x v="1"/>
    <n v="149.72999999999999"/>
    <n v="20"/>
    <n v="239.57"/>
    <n v="42.88"/>
    <n v="34"/>
    <x v="1"/>
    <x v="5"/>
  </r>
  <r>
    <n v="100755"/>
    <x v="263"/>
    <s v="AD-9779-B"/>
    <x v="13"/>
    <x v="0"/>
    <x v="4"/>
    <x v="3"/>
    <x v="2"/>
    <n v="140.63"/>
    <n v="20"/>
    <n v="337.51"/>
    <n v="104.97"/>
    <n v="28"/>
    <x v="1"/>
    <x v="1"/>
  </r>
  <r>
    <n v="100944"/>
    <x v="234"/>
    <s v="AD-6385-B"/>
    <x v="16"/>
    <x v="1"/>
    <x v="4"/>
    <x v="1"/>
    <x v="2"/>
    <n v="37.57"/>
    <n v="0"/>
    <n v="112.71"/>
    <n v="45.41"/>
    <n v="28"/>
    <x v="2"/>
    <x v="5"/>
  </r>
  <r>
    <n v="100613"/>
    <x v="363"/>
    <s v="AD-9579-C"/>
    <x v="6"/>
    <x v="1"/>
    <x v="2"/>
    <x v="0"/>
    <x v="3"/>
    <n v="169.09"/>
    <n v="0"/>
    <n v="169.09"/>
    <n v="60.62"/>
    <n v="31"/>
    <x v="1"/>
    <x v="5"/>
  </r>
  <r>
    <n v="100801"/>
    <x v="279"/>
    <s v="AD-8083-C"/>
    <x v="12"/>
    <x v="0"/>
    <x v="0"/>
    <x v="1"/>
    <x v="4"/>
    <n v="116.21"/>
    <n v="5"/>
    <n v="441.6"/>
    <n v="143.78"/>
    <n v="42"/>
    <x v="1"/>
    <x v="5"/>
  </r>
  <r>
    <n v="100757"/>
    <x v="4"/>
    <s v="AD-5945-C"/>
    <x v="2"/>
    <x v="1"/>
    <x v="1"/>
    <x v="0"/>
    <x v="2"/>
    <n v="91.85"/>
    <n v="0"/>
    <n v="275.55"/>
    <n v="101.54"/>
    <n v="16"/>
    <x v="1"/>
    <x v="1"/>
  </r>
  <r>
    <n v="100688"/>
    <x v="364"/>
    <s v="AD-5060-C"/>
    <x v="16"/>
    <x v="1"/>
    <x v="2"/>
    <x v="0"/>
    <x v="2"/>
    <n v="32.26"/>
    <n v="0"/>
    <n v="96.78"/>
    <n v="35.840000000000003"/>
    <n v="37"/>
    <x v="0"/>
    <x v="6"/>
  </r>
  <r>
    <n v="100065"/>
    <x v="365"/>
    <s v="AD-1672-C"/>
    <x v="5"/>
    <x v="0"/>
    <x v="0"/>
    <x v="2"/>
    <x v="0"/>
    <n v="67.33"/>
    <n v="10"/>
    <n v="302.99"/>
    <n v="90.49"/>
    <n v="41"/>
    <x v="0"/>
    <x v="1"/>
  </r>
  <r>
    <n v="100793"/>
    <x v="366"/>
    <s v="AD-1668-D"/>
    <x v="7"/>
    <x v="1"/>
    <x v="4"/>
    <x v="1"/>
    <x v="1"/>
    <n v="166.46"/>
    <n v="10"/>
    <n v="299.63"/>
    <n v="111.39"/>
    <n v="27"/>
    <x v="1"/>
    <x v="5"/>
  </r>
  <r>
    <n v="100743"/>
    <x v="195"/>
    <s v="AD-4781-B"/>
    <x v="10"/>
    <x v="2"/>
    <x v="0"/>
    <x v="0"/>
    <x v="4"/>
    <n v="50.43"/>
    <n v="40"/>
    <n v="121.03"/>
    <n v="27.97"/>
    <n v="30"/>
    <x v="1"/>
    <x v="5"/>
  </r>
  <r>
    <n v="100567"/>
    <x v="299"/>
    <s v="AD-1225-C"/>
    <x v="15"/>
    <x v="1"/>
    <x v="0"/>
    <x v="0"/>
    <x v="2"/>
    <n v="150.63999999999999"/>
    <n v="20"/>
    <n v="361.54"/>
    <n v="91.06"/>
    <n v="28"/>
    <x v="0"/>
    <x v="0"/>
  </r>
  <r>
    <n v="101083"/>
    <x v="367"/>
    <s v="AD-2527-C"/>
    <x v="17"/>
    <x v="2"/>
    <x v="0"/>
    <x v="1"/>
    <x v="4"/>
    <n v="38.86"/>
    <n v="0"/>
    <n v="155.44"/>
    <n v="56.27"/>
    <n v="46"/>
    <x v="1"/>
    <x v="4"/>
  </r>
  <r>
    <n v="101098"/>
    <x v="368"/>
    <s v="AD-7230-A"/>
    <x v="15"/>
    <x v="1"/>
    <x v="3"/>
    <x v="0"/>
    <x v="2"/>
    <n v="146.38999999999999"/>
    <n v="0"/>
    <n v="439.17"/>
    <n v="117.89"/>
    <n v="18"/>
    <x v="1"/>
    <x v="7"/>
  </r>
  <r>
    <n v="100302"/>
    <x v="369"/>
    <s v="AD-7786-D"/>
    <x v="13"/>
    <x v="0"/>
    <x v="0"/>
    <x v="1"/>
    <x v="1"/>
    <n v="119.21"/>
    <n v="0"/>
    <n v="238.42"/>
    <n v="54.9"/>
    <n v="26"/>
    <x v="1"/>
    <x v="0"/>
  </r>
  <r>
    <n v="100254"/>
    <x v="16"/>
    <s v="AD-7756-B"/>
    <x v="15"/>
    <x v="1"/>
    <x v="4"/>
    <x v="2"/>
    <x v="0"/>
    <n v="145.34"/>
    <n v="0"/>
    <n v="726.7"/>
    <n v="224.2"/>
    <n v="33"/>
    <x v="1"/>
    <x v="7"/>
  </r>
  <r>
    <n v="100958"/>
    <x v="370"/>
    <s v="AD-8462-B"/>
    <x v="11"/>
    <x v="0"/>
    <x v="0"/>
    <x v="1"/>
    <x v="4"/>
    <n v="29.68"/>
    <n v="0"/>
    <n v="118.72"/>
    <n v="36.94"/>
    <n v="18"/>
    <x v="0"/>
    <x v="0"/>
  </r>
  <r>
    <n v="101023"/>
    <x v="329"/>
    <s v="AD-6382-C"/>
    <x v="3"/>
    <x v="2"/>
    <x v="2"/>
    <x v="0"/>
    <x v="4"/>
    <n v="17.71"/>
    <n v="0"/>
    <n v="70.84"/>
    <n v="13.62"/>
    <n v="29"/>
    <x v="1"/>
    <x v="5"/>
  </r>
  <r>
    <n v="100312"/>
    <x v="269"/>
    <s v="AD-3340-A"/>
    <x v="13"/>
    <x v="0"/>
    <x v="4"/>
    <x v="0"/>
    <x v="5"/>
    <n v="120.23"/>
    <n v="5"/>
    <n v="685.31"/>
    <n v="249.96"/>
    <n v="28"/>
    <x v="0"/>
    <x v="3"/>
  </r>
  <r>
    <n v="100529"/>
    <x v="371"/>
    <s v="AD-5622-C"/>
    <x v="13"/>
    <x v="0"/>
    <x v="4"/>
    <x v="1"/>
    <x v="1"/>
    <n v="101.14"/>
    <n v="10"/>
    <n v="182.05"/>
    <n v="53.84"/>
    <n v="19"/>
    <x v="1"/>
    <x v="1"/>
  </r>
  <r>
    <n v="100221"/>
    <x v="199"/>
    <s v="AD-5662-D"/>
    <x v="0"/>
    <x v="0"/>
    <x v="4"/>
    <x v="1"/>
    <x v="6"/>
    <n v="46.97"/>
    <n v="0"/>
    <n v="328.79"/>
    <n v="107.03"/>
    <n v="32"/>
    <x v="1"/>
    <x v="4"/>
  </r>
  <r>
    <n v="100388"/>
    <x v="291"/>
    <s v="AD-5511-D"/>
    <x v="7"/>
    <x v="1"/>
    <x v="4"/>
    <x v="0"/>
    <x v="1"/>
    <n v="180.08"/>
    <n v="0"/>
    <n v="360.16"/>
    <n v="84.13"/>
    <n v="34"/>
    <x v="0"/>
    <x v="0"/>
  </r>
  <r>
    <n v="100235"/>
    <x v="372"/>
    <s v="AD-6697-A"/>
    <x v="12"/>
    <x v="0"/>
    <x v="2"/>
    <x v="0"/>
    <x v="4"/>
    <n v="118.57"/>
    <n v="5"/>
    <n v="450.57"/>
    <n v="134.34"/>
    <n v="25"/>
    <x v="1"/>
    <x v="3"/>
  </r>
  <r>
    <n v="100809"/>
    <x v="70"/>
    <s v="AD-4458-B"/>
    <x v="3"/>
    <x v="2"/>
    <x v="4"/>
    <x v="3"/>
    <x v="3"/>
    <n v="17.52"/>
    <n v="0"/>
    <n v="17.52"/>
    <n v="3.67"/>
    <n v="22"/>
    <x v="0"/>
    <x v="3"/>
  </r>
  <r>
    <n v="100482"/>
    <x v="373"/>
    <s v="AD-6742-A"/>
    <x v="15"/>
    <x v="1"/>
    <x v="1"/>
    <x v="3"/>
    <x v="2"/>
    <n v="181.45"/>
    <n v="0"/>
    <n v="544.35"/>
    <n v="133.04"/>
    <n v="39"/>
    <x v="1"/>
    <x v="2"/>
  </r>
  <r>
    <n v="100712"/>
    <x v="374"/>
    <s v="AD-4185-D"/>
    <x v="2"/>
    <x v="1"/>
    <x v="1"/>
    <x v="1"/>
    <x v="3"/>
    <n v="96.24"/>
    <n v="0"/>
    <n v="96.24"/>
    <n v="23.12"/>
    <n v="19"/>
    <x v="1"/>
    <x v="2"/>
  </r>
  <r>
    <n v="100305"/>
    <x v="375"/>
    <s v="AD-5646-C"/>
    <x v="8"/>
    <x v="2"/>
    <x v="3"/>
    <x v="2"/>
    <x v="2"/>
    <n v="13.86"/>
    <n v="5"/>
    <n v="39.5"/>
    <n v="12.04"/>
    <n v="34"/>
    <x v="1"/>
    <x v="4"/>
  </r>
  <r>
    <n v="101110"/>
    <x v="50"/>
    <s v="AD-8276-A"/>
    <x v="18"/>
    <x v="1"/>
    <x v="4"/>
    <x v="3"/>
    <x v="3"/>
    <n v="93.52"/>
    <n v="10"/>
    <n v="84.17"/>
    <n v="25.93"/>
    <n v="31"/>
    <x v="1"/>
    <x v="1"/>
  </r>
  <r>
    <n v="101089"/>
    <x v="172"/>
    <s v="AD-3336-C"/>
    <x v="19"/>
    <x v="1"/>
    <x v="4"/>
    <x v="1"/>
    <x v="3"/>
    <n v="132.69999999999999"/>
    <n v="10"/>
    <n v="119.43"/>
    <n v="21.29"/>
    <n v="35"/>
    <x v="1"/>
    <x v="7"/>
  </r>
  <r>
    <n v="100771"/>
    <x v="87"/>
    <s v="AD-9763-B"/>
    <x v="12"/>
    <x v="0"/>
    <x v="3"/>
    <x v="0"/>
    <x v="3"/>
    <n v="121.17"/>
    <n v="5"/>
    <n v="115.11"/>
    <n v="38.85"/>
    <n v="31"/>
    <x v="0"/>
    <x v="1"/>
  </r>
  <r>
    <n v="100916"/>
    <x v="376"/>
    <s v="AD-7247-B"/>
    <x v="15"/>
    <x v="1"/>
    <x v="4"/>
    <x v="3"/>
    <x v="3"/>
    <n v="152.72999999999999"/>
    <n v="0"/>
    <n v="152.72999999999999"/>
    <n v="50.68"/>
    <n v="21"/>
    <x v="1"/>
    <x v="2"/>
  </r>
  <r>
    <n v="101138"/>
    <x v="377"/>
    <s v="AD-1606-A"/>
    <x v="17"/>
    <x v="2"/>
    <x v="2"/>
    <x v="0"/>
    <x v="3"/>
    <n v="35.72"/>
    <n v="0"/>
    <n v="35.72"/>
    <n v="15.13"/>
    <n v="30"/>
    <x v="0"/>
    <x v="2"/>
  </r>
  <r>
    <n v="100249"/>
    <x v="378"/>
    <s v="AD-6053-C"/>
    <x v="5"/>
    <x v="0"/>
    <x v="0"/>
    <x v="0"/>
    <x v="1"/>
    <n v="68.290000000000006"/>
    <n v="0"/>
    <n v="136.58000000000001"/>
    <n v="38.71"/>
    <n v="34"/>
    <x v="1"/>
    <x v="4"/>
  </r>
  <r>
    <n v="100759"/>
    <x v="43"/>
    <s v="AD-1981-B"/>
    <x v="9"/>
    <x v="2"/>
    <x v="3"/>
    <x v="1"/>
    <x v="0"/>
    <n v="22.79"/>
    <n v="20"/>
    <n v="91.16"/>
    <n v="27.55"/>
    <n v="23"/>
    <x v="1"/>
    <x v="2"/>
  </r>
  <r>
    <n v="100594"/>
    <x v="379"/>
    <s v="AD-9084-B"/>
    <x v="19"/>
    <x v="1"/>
    <x v="4"/>
    <x v="1"/>
    <x v="1"/>
    <n v="119.58"/>
    <n v="0"/>
    <n v="239.16"/>
    <n v="62.75"/>
    <n v="37"/>
    <x v="1"/>
    <x v="7"/>
  </r>
  <r>
    <n v="100071"/>
    <x v="367"/>
    <s v="AD-8342-A"/>
    <x v="5"/>
    <x v="0"/>
    <x v="1"/>
    <x v="1"/>
    <x v="1"/>
    <n v="80.17"/>
    <n v="0"/>
    <n v="160.34"/>
    <n v="43.83"/>
    <n v="37"/>
    <x v="0"/>
    <x v="5"/>
  </r>
  <r>
    <n v="100094"/>
    <x v="72"/>
    <s v="AD-2143-C"/>
    <x v="9"/>
    <x v="2"/>
    <x v="4"/>
    <x v="1"/>
    <x v="1"/>
    <n v="20.13"/>
    <n v="0"/>
    <n v="40.26"/>
    <n v="11.44"/>
    <n v="31"/>
    <x v="1"/>
    <x v="3"/>
  </r>
  <r>
    <n v="100545"/>
    <x v="380"/>
    <s v="AD-7366-D"/>
    <x v="14"/>
    <x v="1"/>
    <x v="4"/>
    <x v="0"/>
    <x v="1"/>
    <n v="222.43"/>
    <n v="20"/>
    <n v="355.89"/>
    <n v="115.76"/>
    <n v="31"/>
    <x v="1"/>
    <x v="7"/>
  </r>
  <r>
    <n v="100033"/>
    <x v="381"/>
    <s v="AD-4450-C"/>
    <x v="14"/>
    <x v="1"/>
    <x v="2"/>
    <x v="1"/>
    <x v="1"/>
    <n v="204.91"/>
    <n v="40"/>
    <n v="245.89"/>
    <n v="60.6"/>
    <n v="33"/>
    <x v="1"/>
    <x v="0"/>
  </r>
  <r>
    <n v="100861"/>
    <x v="184"/>
    <s v="AD-5409-A"/>
    <x v="3"/>
    <x v="2"/>
    <x v="4"/>
    <x v="0"/>
    <x v="3"/>
    <n v="16.010000000000002"/>
    <n v="0"/>
    <n v="16.010000000000002"/>
    <n v="5.89"/>
    <n v="16"/>
    <x v="0"/>
    <x v="7"/>
  </r>
  <r>
    <n v="100578"/>
    <x v="382"/>
    <s v="AD-8046-B"/>
    <x v="8"/>
    <x v="2"/>
    <x v="4"/>
    <x v="0"/>
    <x v="1"/>
    <n v="16.98"/>
    <n v="0"/>
    <n v="33.96"/>
    <n v="13.75"/>
    <n v="19"/>
    <x v="0"/>
    <x v="3"/>
  </r>
  <r>
    <n v="100448"/>
    <x v="383"/>
    <s v="AD-9426-D"/>
    <x v="18"/>
    <x v="1"/>
    <x v="1"/>
    <x v="0"/>
    <x v="2"/>
    <n v="80.63"/>
    <n v="5"/>
    <n v="229.8"/>
    <n v="88.49"/>
    <n v="29"/>
    <x v="0"/>
    <x v="4"/>
  </r>
  <r>
    <n v="100445"/>
    <x v="384"/>
    <s v="AD-7814-D"/>
    <x v="13"/>
    <x v="0"/>
    <x v="3"/>
    <x v="1"/>
    <x v="4"/>
    <n v="118.53"/>
    <n v="0"/>
    <n v="474.12"/>
    <n v="176"/>
    <n v="26"/>
    <x v="0"/>
    <x v="3"/>
  </r>
  <r>
    <n v="100259"/>
    <x v="385"/>
    <s v="AD-3807-A"/>
    <x v="15"/>
    <x v="1"/>
    <x v="1"/>
    <x v="1"/>
    <x v="4"/>
    <n v="149.63"/>
    <n v="10"/>
    <n v="538.66999999999996"/>
    <n v="129.47"/>
    <n v="29"/>
    <x v="1"/>
    <x v="7"/>
  </r>
  <r>
    <n v="100204"/>
    <x v="386"/>
    <s v="AD-9341-D"/>
    <x v="11"/>
    <x v="0"/>
    <x v="1"/>
    <x v="3"/>
    <x v="2"/>
    <n v="29.38"/>
    <n v="0"/>
    <n v="88.14"/>
    <n v="31.2"/>
    <n v="27"/>
    <x v="0"/>
    <x v="6"/>
  </r>
  <r>
    <n v="100572"/>
    <x v="387"/>
    <s v="AD-4054-B"/>
    <x v="12"/>
    <x v="0"/>
    <x v="0"/>
    <x v="2"/>
    <x v="4"/>
    <n v="123.04"/>
    <n v="0"/>
    <n v="492.16"/>
    <n v="147.30000000000001"/>
    <n v="31"/>
    <x v="1"/>
    <x v="1"/>
  </r>
  <r>
    <n v="100823"/>
    <x v="357"/>
    <s v="AD-3598-B"/>
    <x v="5"/>
    <x v="0"/>
    <x v="4"/>
    <x v="0"/>
    <x v="4"/>
    <n v="75.3"/>
    <n v="20"/>
    <n v="240.96"/>
    <n v="72.11"/>
    <n v="28"/>
    <x v="0"/>
    <x v="4"/>
  </r>
  <r>
    <n v="100585"/>
    <x v="388"/>
    <s v="AD-7457-A"/>
    <x v="5"/>
    <x v="0"/>
    <x v="0"/>
    <x v="1"/>
    <x v="3"/>
    <n v="75.63"/>
    <n v="5"/>
    <n v="71.849999999999994"/>
    <n v="12.65"/>
    <n v="41"/>
    <x v="0"/>
    <x v="4"/>
  </r>
  <r>
    <n v="100365"/>
    <x v="389"/>
    <s v="AD-5612-C"/>
    <x v="18"/>
    <x v="1"/>
    <x v="3"/>
    <x v="0"/>
    <x v="0"/>
    <n v="74.78"/>
    <n v="5"/>
    <n v="355.2"/>
    <n v="100.14"/>
    <n v="32"/>
    <x v="0"/>
    <x v="0"/>
  </r>
  <r>
    <n v="100811"/>
    <x v="216"/>
    <s v="AD-5961-C"/>
    <x v="9"/>
    <x v="2"/>
    <x v="1"/>
    <x v="1"/>
    <x v="4"/>
    <n v="21.29"/>
    <n v="5"/>
    <n v="80.900000000000006"/>
    <n v="30.97"/>
    <n v="31"/>
    <x v="0"/>
    <x v="5"/>
  </r>
  <r>
    <n v="100077"/>
    <x v="390"/>
    <s v="AD-2869-A"/>
    <x v="0"/>
    <x v="0"/>
    <x v="1"/>
    <x v="0"/>
    <x v="3"/>
    <n v="52.36"/>
    <n v="5"/>
    <n v="49.74"/>
    <n v="14.7"/>
    <n v="32"/>
    <x v="1"/>
    <x v="5"/>
  </r>
  <r>
    <n v="100084"/>
    <x v="348"/>
    <s v="AD-5982-D"/>
    <x v="0"/>
    <x v="0"/>
    <x v="0"/>
    <x v="3"/>
    <x v="2"/>
    <n v="56.69"/>
    <n v="0"/>
    <n v="170.07"/>
    <n v="47.29"/>
    <n v="29"/>
    <x v="1"/>
    <x v="5"/>
  </r>
  <r>
    <n v="100538"/>
    <x v="282"/>
    <s v="AD-8992-B"/>
    <x v="15"/>
    <x v="1"/>
    <x v="0"/>
    <x v="1"/>
    <x v="4"/>
    <n v="153.51"/>
    <n v="10"/>
    <n v="552.64"/>
    <n v="160.62"/>
    <n v="16"/>
    <x v="0"/>
    <x v="3"/>
  </r>
  <r>
    <n v="100082"/>
    <x v="391"/>
    <s v="AD-5334-B"/>
    <x v="5"/>
    <x v="0"/>
    <x v="4"/>
    <x v="2"/>
    <x v="4"/>
    <n v="74.959999999999994"/>
    <n v="5"/>
    <n v="284.85000000000002"/>
    <n v="77.42"/>
    <n v="37"/>
    <x v="1"/>
    <x v="6"/>
  </r>
  <r>
    <n v="100457"/>
    <x v="240"/>
    <s v="AD-4469-D"/>
    <x v="8"/>
    <x v="2"/>
    <x v="1"/>
    <x v="1"/>
    <x v="4"/>
    <n v="14.83"/>
    <n v="0"/>
    <n v="59.32"/>
    <n v="26.54"/>
    <n v="26"/>
    <x v="0"/>
    <x v="4"/>
  </r>
  <r>
    <n v="101137"/>
    <x v="392"/>
    <s v="AD-5670-A"/>
    <x v="18"/>
    <x v="1"/>
    <x v="4"/>
    <x v="0"/>
    <x v="0"/>
    <n v="88.63"/>
    <n v="10"/>
    <n v="398.83"/>
    <n v="94.16"/>
    <n v="22"/>
    <x v="1"/>
    <x v="7"/>
  </r>
  <r>
    <n v="100614"/>
    <x v="132"/>
    <s v="AD-4361-A"/>
    <x v="13"/>
    <x v="0"/>
    <x v="2"/>
    <x v="2"/>
    <x v="1"/>
    <n v="120.76"/>
    <n v="10"/>
    <n v="217.37"/>
    <n v="68.09"/>
    <n v="16"/>
    <x v="0"/>
    <x v="3"/>
  </r>
  <r>
    <n v="101185"/>
    <x v="393"/>
    <s v="AD-4027-B"/>
    <x v="19"/>
    <x v="1"/>
    <x v="2"/>
    <x v="1"/>
    <x v="2"/>
    <n v="142.61000000000001"/>
    <n v="0"/>
    <n v="427.83"/>
    <n v="125.1"/>
    <n v="42"/>
    <x v="1"/>
    <x v="7"/>
  </r>
  <r>
    <n v="101075"/>
    <x v="394"/>
    <s v="AD-8274-A"/>
    <x v="14"/>
    <x v="1"/>
    <x v="0"/>
    <x v="0"/>
    <x v="1"/>
    <n v="244.85"/>
    <n v="0"/>
    <n v="489.7"/>
    <n v="155.19"/>
    <n v="22"/>
    <x v="1"/>
    <x v="4"/>
  </r>
  <r>
    <n v="100736"/>
    <x v="164"/>
    <s v="AD-9123-C"/>
    <x v="5"/>
    <x v="0"/>
    <x v="0"/>
    <x v="0"/>
    <x v="4"/>
    <n v="72.12"/>
    <n v="5"/>
    <n v="274.06"/>
    <n v="96.97"/>
    <n v="34"/>
    <x v="1"/>
    <x v="3"/>
  </r>
  <r>
    <n v="100436"/>
    <x v="315"/>
    <s v="AD-9747-C"/>
    <x v="18"/>
    <x v="1"/>
    <x v="0"/>
    <x v="1"/>
    <x v="2"/>
    <n v="89.53"/>
    <n v="0"/>
    <n v="268.58999999999997"/>
    <n v="86.24"/>
    <n v="19"/>
    <x v="0"/>
    <x v="2"/>
  </r>
  <r>
    <n v="100554"/>
    <x v="395"/>
    <s v="AD-4519-C"/>
    <x v="19"/>
    <x v="1"/>
    <x v="4"/>
    <x v="2"/>
    <x v="2"/>
    <n v="111.07"/>
    <n v="10"/>
    <n v="299.89"/>
    <n v="94.02"/>
    <n v="20"/>
    <x v="1"/>
    <x v="6"/>
  </r>
  <r>
    <n v="101079"/>
    <x v="175"/>
    <s v="AD-8821-C"/>
    <x v="12"/>
    <x v="0"/>
    <x v="0"/>
    <x v="1"/>
    <x v="1"/>
    <n v="134.26"/>
    <n v="20"/>
    <n v="214.82"/>
    <n v="72.61"/>
    <n v="24"/>
    <x v="0"/>
    <x v="5"/>
  </r>
  <r>
    <n v="101061"/>
    <x v="254"/>
    <s v="AD-2841-D"/>
    <x v="12"/>
    <x v="0"/>
    <x v="0"/>
    <x v="0"/>
    <x v="4"/>
    <n v="113.25"/>
    <n v="10"/>
    <n v="407.7"/>
    <n v="125.19"/>
    <n v="26"/>
    <x v="0"/>
    <x v="2"/>
  </r>
  <r>
    <n v="100350"/>
    <x v="396"/>
    <s v="AD-7363-C"/>
    <x v="5"/>
    <x v="0"/>
    <x v="0"/>
    <x v="2"/>
    <x v="5"/>
    <n v="75.599999999999994"/>
    <n v="40"/>
    <n v="272.16000000000003"/>
    <n v="65.25"/>
    <n v="36"/>
    <x v="1"/>
    <x v="6"/>
  </r>
  <r>
    <n v="100196"/>
    <x v="384"/>
    <s v="AD-6121-C"/>
    <x v="15"/>
    <x v="1"/>
    <x v="1"/>
    <x v="1"/>
    <x v="2"/>
    <n v="161.19"/>
    <n v="20"/>
    <n v="386.86"/>
    <n v="132.94999999999999"/>
    <n v="31"/>
    <x v="1"/>
    <x v="3"/>
  </r>
  <r>
    <n v="100464"/>
    <x v="397"/>
    <s v="AD-2235-A"/>
    <x v="1"/>
    <x v="0"/>
    <x v="4"/>
    <x v="1"/>
    <x v="2"/>
    <n v="27.21"/>
    <n v="0"/>
    <n v="81.63"/>
    <n v="26"/>
    <n v="25"/>
    <x v="1"/>
    <x v="1"/>
  </r>
  <r>
    <n v="100588"/>
    <x v="398"/>
    <s v="AD-2481-A"/>
    <x v="0"/>
    <x v="0"/>
    <x v="4"/>
    <x v="1"/>
    <x v="4"/>
    <n v="52.4"/>
    <n v="0"/>
    <n v="209.6"/>
    <n v="66.930000000000007"/>
    <n v="16"/>
    <x v="1"/>
    <x v="5"/>
  </r>
  <r>
    <n v="100005"/>
    <x v="399"/>
    <s v="AD-5554-D"/>
    <x v="5"/>
    <x v="0"/>
    <x v="3"/>
    <x v="2"/>
    <x v="3"/>
    <n v="72.099999999999994"/>
    <n v="0"/>
    <n v="72.099999999999994"/>
    <n v="17.59"/>
    <n v="37"/>
    <x v="0"/>
    <x v="2"/>
  </r>
  <r>
    <n v="100310"/>
    <x v="400"/>
    <s v="AD-1132-C"/>
    <x v="16"/>
    <x v="1"/>
    <x v="4"/>
    <x v="0"/>
    <x v="0"/>
    <n v="36.36"/>
    <n v="5"/>
    <n v="172.71"/>
    <n v="44.5"/>
    <n v="25"/>
    <x v="0"/>
    <x v="7"/>
  </r>
  <r>
    <n v="100661"/>
    <x v="401"/>
    <s v="AD-9444-D"/>
    <x v="15"/>
    <x v="1"/>
    <x v="4"/>
    <x v="1"/>
    <x v="2"/>
    <n v="142.51"/>
    <n v="0"/>
    <n v="427.53"/>
    <n v="157.68"/>
    <n v="32"/>
    <x v="0"/>
    <x v="7"/>
  </r>
  <r>
    <n v="100404"/>
    <x v="402"/>
    <s v="AD-8105-B"/>
    <x v="15"/>
    <x v="1"/>
    <x v="4"/>
    <x v="1"/>
    <x v="1"/>
    <n v="147.32"/>
    <n v="5"/>
    <n v="279.91000000000003"/>
    <n v="104.82"/>
    <n v="29"/>
    <x v="0"/>
    <x v="4"/>
  </r>
  <r>
    <n v="101195"/>
    <x v="403"/>
    <s v="AD-6261-A"/>
    <x v="2"/>
    <x v="1"/>
    <x v="1"/>
    <x v="1"/>
    <x v="1"/>
    <n v="77.510000000000005"/>
    <n v="5"/>
    <n v="147.27000000000001"/>
    <n v="42.27"/>
    <n v="28"/>
    <x v="1"/>
    <x v="3"/>
  </r>
  <r>
    <n v="101043"/>
    <x v="404"/>
    <s v="AD-3735-C"/>
    <x v="18"/>
    <x v="1"/>
    <x v="4"/>
    <x v="0"/>
    <x v="1"/>
    <n v="84.94"/>
    <n v="0"/>
    <n v="169.88"/>
    <n v="67.75"/>
    <n v="21"/>
    <x v="0"/>
    <x v="7"/>
  </r>
  <r>
    <n v="101057"/>
    <x v="405"/>
    <s v="AD-2742-C"/>
    <x v="2"/>
    <x v="1"/>
    <x v="3"/>
    <x v="1"/>
    <x v="2"/>
    <n v="85.71"/>
    <n v="40"/>
    <n v="154.28"/>
    <n v="45.27"/>
    <n v="39"/>
    <x v="0"/>
    <x v="7"/>
  </r>
  <r>
    <n v="100104"/>
    <x v="406"/>
    <s v="AD-5161-D"/>
    <x v="12"/>
    <x v="0"/>
    <x v="4"/>
    <x v="2"/>
    <x v="3"/>
    <n v="138.34"/>
    <n v="0"/>
    <n v="138.34"/>
    <n v="35.35"/>
    <n v="38"/>
    <x v="1"/>
    <x v="5"/>
  </r>
  <r>
    <n v="100536"/>
    <x v="89"/>
    <s v="AD-1146-A"/>
    <x v="4"/>
    <x v="2"/>
    <x v="4"/>
    <x v="0"/>
    <x v="1"/>
    <n v="66.5"/>
    <n v="5"/>
    <n v="126.35"/>
    <n v="47.79"/>
    <n v="24"/>
    <x v="1"/>
    <x v="6"/>
  </r>
  <r>
    <n v="100605"/>
    <x v="407"/>
    <s v="AD-5919-C"/>
    <x v="16"/>
    <x v="1"/>
    <x v="4"/>
    <x v="0"/>
    <x v="3"/>
    <n v="34.1"/>
    <n v="10"/>
    <n v="30.69"/>
    <n v="7.56"/>
    <n v="45"/>
    <x v="0"/>
    <x v="0"/>
  </r>
  <r>
    <n v="100062"/>
    <x v="78"/>
    <s v="AD-8758-A"/>
    <x v="6"/>
    <x v="1"/>
    <x v="4"/>
    <x v="0"/>
    <x v="2"/>
    <n v="149.9"/>
    <n v="0"/>
    <n v="449.7"/>
    <n v="174.72"/>
    <n v="33"/>
    <x v="1"/>
    <x v="3"/>
  </r>
  <r>
    <n v="100281"/>
    <x v="408"/>
    <s v="AD-8303-C"/>
    <x v="6"/>
    <x v="1"/>
    <x v="4"/>
    <x v="1"/>
    <x v="4"/>
    <n v="174.63"/>
    <n v="10"/>
    <n v="628.66999999999996"/>
    <n v="195.66"/>
    <n v="37"/>
    <x v="0"/>
    <x v="6"/>
  </r>
  <r>
    <n v="101055"/>
    <x v="409"/>
    <s v="AD-9630-B"/>
    <x v="14"/>
    <x v="1"/>
    <x v="4"/>
    <x v="2"/>
    <x v="3"/>
    <n v="230.24"/>
    <n v="10"/>
    <n v="207.22"/>
    <n v="70.31"/>
    <n v="25"/>
    <x v="0"/>
    <x v="1"/>
  </r>
  <r>
    <n v="100238"/>
    <x v="199"/>
    <s v="AD-4943-B"/>
    <x v="18"/>
    <x v="1"/>
    <x v="0"/>
    <x v="1"/>
    <x v="4"/>
    <n v="86.59"/>
    <n v="10"/>
    <n v="311.72000000000003"/>
    <n v="69.27"/>
    <n v="39"/>
    <x v="0"/>
    <x v="7"/>
  </r>
  <r>
    <n v="100223"/>
    <x v="410"/>
    <s v="AD-5833-B"/>
    <x v="7"/>
    <x v="1"/>
    <x v="0"/>
    <x v="1"/>
    <x v="3"/>
    <n v="167.08"/>
    <n v="0"/>
    <n v="167.08"/>
    <n v="35.979999999999997"/>
    <n v="29"/>
    <x v="1"/>
    <x v="4"/>
  </r>
  <r>
    <n v="100145"/>
    <x v="411"/>
    <s v="AD-6752-B"/>
    <x v="7"/>
    <x v="1"/>
    <x v="0"/>
    <x v="1"/>
    <x v="4"/>
    <n v="155.71"/>
    <n v="10"/>
    <n v="560.55999999999995"/>
    <n v="182.17"/>
    <n v="34"/>
    <x v="1"/>
    <x v="4"/>
  </r>
  <r>
    <n v="101118"/>
    <x v="412"/>
    <s v="AD-9907-A"/>
    <x v="2"/>
    <x v="1"/>
    <x v="1"/>
    <x v="1"/>
    <x v="0"/>
    <n v="95.27"/>
    <n v="10"/>
    <n v="428.71"/>
    <n v="99.13"/>
    <n v="30"/>
    <x v="0"/>
    <x v="7"/>
  </r>
  <r>
    <n v="100373"/>
    <x v="413"/>
    <s v="AD-4308-B"/>
    <x v="7"/>
    <x v="1"/>
    <x v="0"/>
    <x v="0"/>
    <x v="3"/>
    <n v="170.96"/>
    <n v="0"/>
    <n v="170.96"/>
    <n v="57.49"/>
    <n v="34"/>
    <x v="1"/>
    <x v="2"/>
  </r>
  <r>
    <n v="100118"/>
    <x v="107"/>
    <s v="AD-4559-D"/>
    <x v="18"/>
    <x v="1"/>
    <x v="0"/>
    <x v="3"/>
    <x v="6"/>
    <n v="83.62"/>
    <n v="0"/>
    <n v="585.34"/>
    <n v="176.98"/>
    <n v="45"/>
    <x v="1"/>
    <x v="4"/>
  </r>
  <r>
    <n v="100802"/>
    <x v="414"/>
    <s v="AD-8298-D"/>
    <x v="19"/>
    <x v="1"/>
    <x v="0"/>
    <x v="2"/>
    <x v="3"/>
    <n v="132.72999999999999"/>
    <n v="10"/>
    <n v="119.46"/>
    <n v="32.19"/>
    <n v="42"/>
    <x v="1"/>
    <x v="5"/>
  </r>
  <r>
    <n v="100250"/>
    <x v="415"/>
    <s v="AD-4328-C"/>
    <x v="10"/>
    <x v="2"/>
    <x v="1"/>
    <x v="2"/>
    <x v="2"/>
    <n v="44.75"/>
    <n v="0"/>
    <n v="134.25"/>
    <n v="48.87"/>
    <n v="32"/>
    <x v="0"/>
    <x v="4"/>
  </r>
  <r>
    <n v="101156"/>
    <x v="281"/>
    <s v="AD-5395-D"/>
    <x v="5"/>
    <x v="0"/>
    <x v="0"/>
    <x v="0"/>
    <x v="4"/>
    <n v="62.99"/>
    <n v="0"/>
    <n v="251.96"/>
    <n v="47.38"/>
    <n v="28"/>
    <x v="1"/>
    <x v="6"/>
  </r>
  <r>
    <n v="100009"/>
    <x v="125"/>
    <s v="AD-7543-C"/>
    <x v="3"/>
    <x v="2"/>
    <x v="4"/>
    <x v="1"/>
    <x v="2"/>
    <n v="15.72"/>
    <n v="10"/>
    <n v="42.44"/>
    <n v="15.03"/>
    <n v="16"/>
    <x v="1"/>
    <x v="2"/>
  </r>
  <r>
    <n v="100449"/>
    <x v="416"/>
    <s v="AD-3742-A"/>
    <x v="15"/>
    <x v="1"/>
    <x v="0"/>
    <x v="0"/>
    <x v="1"/>
    <n v="132.6"/>
    <n v="5"/>
    <n v="251.94"/>
    <n v="78.19"/>
    <n v="30"/>
    <x v="1"/>
    <x v="1"/>
  </r>
  <r>
    <n v="100873"/>
    <x v="417"/>
    <s v="AD-1602-C"/>
    <x v="19"/>
    <x v="1"/>
    <x v="0"/>
    <x v="0"/>
    <x v="0"/>
    <n v="117.95"/>
    <n v="0"/>
    <n v="589.75"/>
    <n v="196.16"/>
    <n v="16"/>
    <x v="2"/>
    <x v="4"/>
  </r>
  <r>
    <n v="100389"/>
    <x v="418"/>
    <s v="AD-2676-A"/>
    <x v="12"/>
    <x v="0"/>
    <x v="1"/>
    <x v="0"/>
    <x v="5"/>
    <n v="130.86000000000001"/>
    <n v="0"/>
    <n v="785.16"/>
    <n v="229.42"/>
    <n v="27"/>
    <x v="1"/>
    <x v="2"/>
  </r>
  <r>
    <n v="100965"/>
    <x v="419"/>
    <s v="AD-8220-A"/>
    <x v="16"/>
    <x v="1"/>
    <x v="4"/>
    <x v="1"/>
    <x v="0"/>
    <n v="34.409999999999997"/>
    <n v="10"/>
    <n v="154.84"/>
    <n v="46.15"/>
    <n v="16"/>
    <x v="1"/>
    <x v="2"/>
  </r>
  <r>
    <n v="100460"/>
    <x v="420"/>
    <s v="AD-4170-C"/>
    <x v="13"/>
    <x v="0"/>
    <x v="0"/>
    <x v="0"/>
    <x v="2"/>
    <n v="136.37"/>
    <n v="5"/>
    <n v="388.65"/>
    <n v="101.81"/>
    <n v="33"/>
    <x v="1"/>
    <x v="1"/>
  </r>
  <r>
    <n v="101146"/>
    <x v="97"/>
    <s v="AD-2278-A"/>
    <x v="0"/>
    <x v="0"/>
    <x v="1"/>
    <x v="2"/>
    <x v="0"/>
    <n v="48.25"/>
    <n v="0"/>
    <n v="241.25"/>
    <n v="60.99"/>
    <n v="23"/>
    <x v="1"/>
    <x v="6"/>
  </r>
  <r>
    <n v="100144"/>
    <x v="421"/>
    <s v="AD-6562-B"/>
    <x v="18"/>
    <x v="1"/>
    <x v="0"/>
    <x v="1"/>
    <x v="2"/>
    <n v="102.41"/>
    <n v="20"/>
    <n v="245.78"/>
    <n v="72.55"/>
    <n v="31"/>
    <x v="1"/>
    <x v="0"/>
  </r>
  <r>
    <n v="100501"/>
    <x v="422"/>
    <s v="AD-6833-B"/>
    <x v="16"/>
    <x v="1"/>
    <x v="4"/>
    <x v="0"/>
    <x v="1"/>
    <n v="36.380000000000003"/>
    <n v="20"/>
    <n v="58.21"/>
    <n v="13.87"/>
    <n v="39"/>
    <x v="1"/>
    <x v="6"/>
  </r>
  <r>
    <n v="101107"/>
    <x v="304"/>
    <s v="AD-7783-D"/>
    <x v="0"/>
    <x v="0"/>
    <x v="1"/>
    <x v="2"/>
    <x v="1"/>
    <n v="59.66"/>
    <n v="0"/>
    <n v="119.32"/>
    <n v="32.15"/>
    <n v="16"/>
    <x v="0"/>
    <x v="5"/>
  </r>
  <r>
    <n v="100539"/>
    <x v="423"/>
    <s v="AD-1349-D"/>
    <x v="8"/>
    <x v="2"/>
    <x v="0"/>
    <x v="2"/>
    <x v="5"/>
    <n v="14.4"/>
    <n v="0"/>
    <n v="86.4"/>
    <n v="29.37"/>
    <n v="16"/>
    <x v="1"/>
    <x v="6"/>
  </r>
  <r>
    <n v="100177"/>
    <x v="421"/>
    <s v="AD-9151-C"/>
    <x v="12"/>
    <x v="0"/>
    <x v="2"/>
    <x v="0"/>
    <x v="2"/>
    <n v="138.01"/>
    <n v="0"/>
    <n v="414.03"/>
    <n v="121.98"/>
    <n v="25"/>
    <x v="0"/>
    <x v="5"/>
  </r>
  <r>
    <n v="101158"/>
    <x v="73"/>
    <s v="AD-2137-B"/>
    <x v="19"/>
    <x v="1"/>
    <x v="1"/>
    <x v="2"/>
    <x v="1"/>
    <n v="133.51"/>
    <n v="5"/>
    <n v="253.67"/>
    <n v="72.760000000000005"/>
    <n v="42"/>
    <x v="1"/>
    <x v="4"/>
  </r>
  <r>
    <n v="101050"/>
    <x v="424"/>
    <s v="AD-1170-C"/>
    <x v="8"/>
    <x v="2"/>
    <x v="4"/>
    <x v="2"/>
    <x v="1"/>
    <n v="15.79"/>
    <n v="40"/>
    <n v="18.95"/>
    <n v="8.6"/>
    <n v="38"/>
    <x v="1"/>
    <x v="7"/>
  </r>
  <r>
    <n v="100583"/>
    <x v="209"/>
    <s v="AD-5421-D"/>
    <x v="12"/>
    <x v="0"/>
    <x v="4"/>
    <x v="0"/>
    <x v="4"/>
    <n v="134.32"/>
    <n v="5"/>
    <n v="510.42"/>
    <n v="145.47"/>
    <n v="25"/>
    <x v="1"/>
    <x v="7"/>
  </r>
  <r>
    <n v="101194"/>
    <x v="425"/>
    <s v="AD-5103-A"/>
    <x v="7"/>
    <x v="1"/>
    <x v="1"/>
    <x v="3"/>
    <x v="2"/>
    <n v="171.62"/>
    <n v="0"/>
    <n v="514.86"/>
    <n v="167.49"/>
    <n v="28"/>
    <x v="0"/>
    <x v="7"/>
  </r>
  <r>
    <n v="100007"/>
    <x v="280"/>
    <s v="AD-1916-B"/>
    <x v="3"/>
    <x v="2"/>
    <x v="3"/>
    <x v="1"/>
    <x v="4"/>
    <n v="17.989999999999998"/>
    <n v="5"/>
    <n v="68.36"/>
    <n v="35.85"/>
    <n v="39"/>
    <x v="0"/>
    <x v="4"/>
  </r>
  <r>
    <n v="100573"/>
    <x v="303"/>
    <s v="AD-6465-D"/>
    <x v="3"/>
    <x v="2"/>
    <x v="0"/>
    <x v="0"/>
    <x v="4"/>
    <n v="19"/>
    <n v="0"/>
    <n v="76"/>
    <n v="21.18"/>
    <n v="44"/>
    <x v="0"/>
    <x v="0"/>
  </r>
  <r>
    <n v="100842"/>
    <x v="425"/>
    <s v="AD-7974-D"/>
    <x v="13"/>
    <x v="0"/>
    <x v="4"/>
    <x v="1"/>
    <x v="4"/>
    <n v="124.53"/>
    <n v="0"/>
    <n v="498.12"/>
    <n v="113.08"/>
    <n v="31"/>
    <x v="1"/>
    <x v="3"/>
  </r>
  <r>
    <n v="100357"/>
    <x v="426"/>
    <s v="AD-1029-D"/>
    <x v="17"/>
    <x v="2"/>
    <x v="1"/>
    <x v="1"/>
    <x v="1"/>
    <n v="38.82"/>
    <n v="0"/>
    <n v="77.64"/>
    <n v="24.21"/>
    <n v="42"/>
    <x v="1"/>
    <x v="3"/>
  </r>
  <r>
    <n v="100329"/>
    <x v="99"/>
    <s v="AD-5625-C"/>
    <x v="5"/>
    <x v="0"/>
    <x v="3"/>
    <x v="3"/>
    <x v="2"/>
    <n v="79.58"/>
    <n v="0"/>
    <n v="238.74"/>
    <n v="77.37"/>
    <n v="24"/>
    <x v="1"/>
    <x v="5"/>
  </r>
  <r>
    <n v="100704"/>
    <x v="427"/>
    <s v="AD-5720-A"/>
    <x v="14"/>
    <x v="1"/>
    <x v="1"/>
    <x v="1"/>
    <x v="1"/>
    <n v="224.14"/>
    <n v="0"/>
    <n v="448.28"/>
    <n v="104.77"/>
    <n v="37"/>
    <x v="1"/>
    <x v="4"/>
  </r>
  <r>
    <n v="100829"/>
    <x v="23"/>
    <s v="AD-6592-C"/>
    <x v="16"/>
    <x v="1"/>
    <x v="1"/>
    <x v="1"/>
    <x v="1"/>
    <n v="33.950000000000003"/>
    <n v="5"/>
    <n v="64.5"/>
    <n v="22.58"/>
    <n v="32"/>
    <x v="1"/>
    <x v="5"/>
  </r>
  <r>
    <n v="100258"/>
    <x v="375"/>
    <s v="AD-5914-A"/>
    <x v="12"/>
    <x v="0"/>
    <x v="3"/>
    <x v="1"/>
    <x v="1"/>
    <n v="141.22"/>
    <n v="10"/>
    <n v="254.2"/>
    <n v="54.11"/>
    <n v="22"/>
    <x v="1"/>
    <x v="6"/>
  </r>
  <r>
    <n v="100890"/>
    <x v="338"/>
    <s v="AD-1939-B"/>
    <x v="19"/>
    <x v="1"/>
    <x v="1"/>
    <x v="0"/>
    <x v="3"/>
    <n v="136.99"/>
    <n v="5"/>
    <n v="130.13999999999999"/>
    <n v="41.54"/>
    <n v="32"/>
    <x v="0"/>
    <x v="3"/>
  </r>
  <r>
    <n v="100833"/>
    <x v="428"/>
    <s v="AD-9516-C"/>
    <x v="12"/>
    <x v="0"/>
    <x v="0"/>
    <x v="1"/>
    <x v="1"/>
    <n v="156.76"/>
    <n v="0"/>
    <n v="313.52"/>
    <n v="109.41"/>
    <n v="32"/>
    <x v="0"/>
    <x v="7"/>
  </r>
  <r>
    <n v="101187"/>
    <x v="52"/>
    <s v="AD-8601-D"/>
    <x v="17"/>
    <x v="2"/>
    <x v="0"/>
    <x v="0"/>
    <x v="2"/>
    <n v="35.479999999999997"/>
    <n v="5"/>
    <n v="101.12"/>
    <n v="29.56"/>
    <n v="38"/>
    <x v="0"/>
    <x v="1"/>
  </r>
  <r>
    <n v="100904"/>
    <x v="429"/>
    <s v="AD-1599-B"/>
    <x v="11"/>
    <x v="0"/>
    <x v="1"/>
    <x v="3"/>
    <x v="1"/>
    <n v="25.41"/>
    <n v="0"/>
    <n v="50.82"/>
    <n v="14.51"/>
    <n v="40"/>
    <x v="1"/>
    <x v="2"/>
  </r>
  <r>
    <n v="100525"/>
    <x v="430"/>
    <s v="AD-8052-C"/>
    <x v="8"/>
    <x v="2"/>
    <x v="2"/>
    <x v="3"/>
    <x v="2"/>
    <n v="14"/>
    <n v="10"/>
    <n v="37.799999999999997"/>
    <n v="9.34"/>
    <n v="16"/>
    <x v="1"/>
    <x v="7"/>
  </r>
  <r>
    <n v="100813"/>
    <x v="255"/>
    <s v="AD-2410-C"/>
    <x v="9"/>
    <x v="2"/>
    <x v="0"/>
    <x v="0"/>
    <x v="0"/>
    <n v="18.829999999999998"/>
    <n v="0"/>
    <n v="94.15"/>
    <n v="30.76"/>
    <n v="17"/>
    <x v="0"/>
    <x v="6"/>
  </r>
  <r>
    <n v="100731"/>
    <x v="430"/>
    <s v="AD-3028-B"/>
    <x v="18"/>
    <x v="1"/>
    <x v="4"/>
    <x v="0"/>
    <x v="1"/>
    <n v="96.02"/>
    <n v="0"/>
    <n v="192.04"/>
    <n v="56.49"/>
    <n v="43"/>
    <x v="1"/>
    <x v="1"/>
  </r>
  <r>
    <n v="101031"/>
    <x v="431"/>
    <s v="AD-8961-A"/>
    <x v="13"/>
    <x v="0"/>
    <x v="0"/>
    <x v="0"/>
    <x v="3"/>
    <n v="119"/>
    <n v="5"/>
    <n v="113.05"/>
    <n v="30.11"/>
    <n v="28"/>
    <x v="1"/>
    <x v="0"/>
  </r>
  <r>
    <n v="101140"/>
    <x v="432"/>
    <s v="AD-9082-A"/>
    <x v="2"/>
    <x v="1"/>
    <x v="1"/>
    <x v="1"/>
    <x v="4"/>
    <n v="89.18"/>
    <n v="0"/>
    <n v="356.72"/>
    <n v="105.33"/>
    <n v="30"/>
    <x v="1"/>
    <x v="5"/>
  </r>
  <r>
    <n v="100440"/>
    <x v="433"/>
    <s v="AD-1881-A"/>
    <x v="15"/>
    <x v="1"/>
    <x v="1"/>
    <x v="3"/>
    <x v="4"/>
    <n v="147.13999999999999"/>
    <n v="0"/>
    <n v="588.55999999999995"/>
    <n v="184.48"/>
    <n v="21"/>
    <x v="0"/>
    <x v="4"/>
  </r>
  <r>
    <n v="100531"/>
    <x v="91"/>
    <s v="AD-1918-C"/>
    <x v="9"/>
    <x v="2"/>
    <x v="1"/>
    <x v="1"/>
    <x v="1"/>
    <n v="19.940000000000001"/>
    <n v="0"/>
    <n v="39.880000000000003"/>
    <n v="11.52"/>
    <n v="23"/>
    <x v="1"/>
    <x v="3"/>
  </r>
  <r>
    <n v="100959"/>
    <x v="177"/>
    <s v="AD-7297-D"/>
    <x v="5"/>
    <x v="0"/>
    <x v="3"/>
    <x v="2"/>
    <x v="1"/>
    <n v="67.56"/>
    <n v="0"/>
    <n v="135.12"/>
    <n v="35.75"/>
    <n v="29"/>
    <x v="1"/>
    <x v="1"/>
  </r>
  <r>
    <n v="100228"/>
    <x v="434"/>
    <s v="AD-7813-D"/>
    <x v="19"/>
    <x v="1"/>
    <x v="3"/>
    <x v="1"/>
    <x v="2"/>
    <n v="142.54"/>
    <n v="20"/>
    <n v="342.1"/>
    <n v="109.2"/>
    <n v="18"/>
    <x v="1"/>
    <x v="4"/>
  </r>
  <r>
    <n v="101040"/>
    <x v="131"/>
    <s v="AD-1672-B"/>
    <x v="1"/>
    <x v="0"/>
    <x v="1"/>
    <x v="2"/>
    <x v="0"/>
    <n v="24.87"/>
    <n v="20"/>
    <n v="99.48"/>
    <n v="19.190000000000001"/>
    <n v="31"/>
    <x v="1"/>
    <x v="1"/>
  </r>
  <r>
    <n v="100212"/>
    <x v="435"/>
    <s v="AD-8932-B"/>
    <x v="11"/>
    <x v="0"/>
    <x v="2"/>
    <x v="1"/>
    <x v="1"/>
    <n v="32.31"/>
    <n v="0"/>
    <n v="64.62"/>
    <n v="19.29"/>
    <n v="31"/>
    <x v="0"/>
    <x v="0"/>
  </r>
  <r>
    <n v="100079"/>
    <x v="436"/>
    <s v="AD-8381-D"/>
    <x v="8"/>
    <x v="2"/>
    <x v="0"/>
    <x v="1"/>
    <x v="4"/>
    <n v="15.64"/>
    <n v="0"/>
    <n v="62.56"/>
    <n v="21.71"/>
    <n v="46"/>
    <x v="1"/>
    <x v="2"/>
  </r>
  <r>
    <n v="100148"/>
    <x v="437"/>
    <s v="AD-9312-A"/>
    <x v="2"/>
    <x v="1"/>
    <x v="0"/>
    <x v="1"/>
    <x v="4"/>
    <n v="99.25"/>
    <n v="5"/>
    <n v="377.15"/>
    <n v="133.53"/>
    <n v="33"/>
    <x v="0"/>
    <x v="4"/>
  </r>
  <r>
    <n v="100591"/>
    <x v="438"/>
    <s v="AD-7204-D"/>
    <x v="18"/>
    <x v="1"/>
    <x v="0"/>
    <x v="0"/>
    <x v="4"/>
    <n v="85.74"/>
    <n v="0"/>
    <n v="342.96"/>
    <n v="95.02"/>
    <n v="24"/>
    <x v="0"/>
    <x v="3"/>
  </r>
  <r>
    <n v="100707"/>
    <x v="439"/>
    <s v="AD-8347-B"/>
    <x v="16"/>
    <x v="1"/>
    <x v="4"/>
    <x v="0"/>
    <x v="3"/>
    <n v="35.89"/>
    <n v="0"/>
    <n v="35.89"/>
    <n v="11.09"/>
    <n v="40"/>
    <x v="1"/>
    <x v="4"/>
  </r>
  <r>
    <n v="100589"/>
    <x v="67"/>
    <s v="AD-1408-B"/>
    <x v="17"/>
    <x v="2"/>
    <x v="0"/>
    <x v="0"/>
    <x v="1"/>
    <n v="38.049999999999997"/>
    <n v="0"/>
    <n v="76.099999999999994"/>
    <n v="28.72"/>
    <n v="23"/>
    <x v="1"/>
    <x v="5"/>
  </r>
  <r>
    <n v="100133"/>
    <x v="111"/>
    <s v="AD-4705-D"/>
    <x v="9"/>
    <x v="2"/>
    <x v="4"/>
    <x v="2"/>
    <x v="4"/>
    <n v="25.11"/>
    <n v="20"/>
    <n v="80.349999999999994"/>
    <n v="33.92"/>
    <n v="16"/>
    <x v="1"/>
    <x v="0"/>
  </r>
  <r>
    <n v="100781"/>
    <x v="440"/>
    <s v="AD-2922-A"/>
    <x v="12"/>
    <x v="0"/>
    <x v="0"/>
    <x v="0"/>
    <x v="2"/>
    <n v="150.93"/>
    <n v="0"/>
    <n v="452.79"/>
    <n v="134.34"/>
    <n v="25"/>
    <x v="0"/>
    <x v="3"/>
  </r>
  <r>
    <n v="100408"/>
    <x v="441"/>
    <s v="AD-5933-D"/>
    <x v="3"/>
    <x v="2"/>
    <x v="1"/>
    <x v="1"/>
    <x v="1"/>
    <n v="20.28"/>
    <n v="5"/>
    <n v="38.53"/>
    <n v="9.98"/>
    <n v="28"/>
    <x v="1"/>
    <x v="7"/>
  </r>
  <r>
    <n v="100969"/>
    <x v="442"/>
    <s v="AD-6918-D"/>
    <x v="4"/>
    <x v="2"/>
    <x v="0"/>
    <x v="0"/>
    <x v="1"/>
    <n v="53.89"/>
    <n v="5"/>
    <n v="102.39"/>
    <n v="37.729999999999997"/>
    <n v="44"/>
    <x v="1"/>
    <x v="6"/>
  </r>
  <r>
    <n v="100507"/>
    <x v="443"/>
    <s v="AD-7866-C"/>
    <x v="1"/>
    <x v="0"/>
    <x v="0"/>
    <x v="0"/>
    <x v="2"/>
    <n v="28.06"/>
    <n v="5"/>
    <n v="79.97"/>
    <n v="21.4"/>
    <n v="34"/>
    <x v="1"/>
    <x v="6"/>
  </r>
  <r>
    <n v="100876"/>
    <x v="351"/>
    <s v="AD-4143-A"/>
    <x v="2"/>
    <x v="1"/>
    <x v="3"/>
    <x v="2"/>
    <x v="1"/>
    <n v="101.82"/>
    <n v="10"/>
    <n v="183.28"/>
    <n v="65.34"/>
    <n v="24"/>
    <x v="0"/>
    <x v="0"/>
  </r>
  <r>
    <n v="100504"/>
    <x v="215"/>
    <s v="AD-8836-A"/>
    <x v="10"/>
    <x v="2"/>
    <x v="4"/>
    <x v="1"/>
    <x v="4"/>
    <n v="44.86"/>
    <n v="5"/>
    <n v="170.47"/>
    <n v="54.65"/>
    <n v="34"/>
    <x v="1"/>
    <x v="2"/>
  </r>
  <r>
    <n v="100718"/>
    <x v="444"/>
    <s v="AD-9095-D"/>
    <x v="12"/>
    <x v="0"/>
    <x v="1"/>
    <x v="2"/>
    <x v="4"/>
    <n v="150.96"/>
    <n v="5"/>
    <n v="573.65"/>
    <n v="113.41"/>
    <n v="28"/>
    <x v="1"/>
    <x v="0"/>
  </r>
  <r>
    <n v="100347"/>
    <x v="445"/>
    <s v="AD-6883-D"/>
    <x v="10"/>
    <x v="2"/>
    <x v="3"/>
    <x v="1"/>
    <x v="4"/>
    <n v="45.84"/>
    <n v="20"/>
    <n v="146.69"/>
    <n v="36.659999999999997"/>
    <n v="30"/>
    <x v="1"/>
    <x v="2"/>
  </r>
  <r>
    <n v="100386"/>
    <x v="446"/>
    <s v="AD-4626-B"/>
    <x v="2"/>
    <x v="1"/>
    <x v="1"/>
    <x v="0"/>
    <x v="1"/>
    <n v="90"/>
    <n v="5"/>
    <n v="171"/>
    <n v="48.7"/>
    <n v="26"/>
    <x v="0"/>
    <x v="6"/>
  </r>
  <r>
    <n v="100000"/>
    <x v="102"/>
    <s v="AD-7912-A"/>
    <x v="18"/>
    <x v="1"/>
    <x v="4"/>
    <x v="0"/>
    <x v="2"/>
    <n v="88.38"/>
    <n v="10"/>
    <n v="238.63"/>
    <n v="69.94"/>
    <n v="32"/>
    <x v="0"/>
    <x v="1"/>
  </r>
  <r>
    <n v="100360"/>
    <x v="447"/>
    <s v="AD-1788-D"/>
    <x v="1"/>
    <x v="0"/>
    <x v="0"/>
    <x v="0"/>
    <x v="1"/>
    <n v="21.86"/>
    <n v="20"/>
    <n v="34.979999999999997"/>
    <n v="7.43"/>
    <n v="43"/>
    <x v="0"/>
    <x v="7"/>
  </r>
  <r>
    <n v="101133"/>
    <x v="448"/>
    <s v="AD-7089-C"/>
    <x v="7"/>
    <x v="1"/>
    <x v="1"/>
    <x v="0"/>
    <x v="4"/>
    <n v="173.06"/>
    <n v="0"/>
    <n v="692.24"/>
    <n v="210.25"/>
    <n v="38"/>
    <x v="1"/>
    <x v="6"/>
  </r>
  <r>
    <n v="100475"/>
    <x v="449"/>
    <s v="AD-1916-B"/>
    <x v="15"/>
    <x v="1"/>
    <x v="0"/>
    <x v="0"/>
    <x v="1"/>
    <n v="161.02000000000001"/>
    <n v="10"/>
    <n v="289.83999999999997"/>
    <n v="76.67"/>
    <n v="19"/>
    <x v="1"/>
    <x v="3"/>
  </r>
  <r>
    <n v="100777"/>
    <x v="309"/>
    <s v="AD-7722-C"/>
    <x v="0"/>
    <x v="0"/>
    <x v="4"/>
    <x v="0"/>
    <x v="3"/>
    <n v="60.55"/>
    <n v="5"/>
    <n v="57.52"/>
    <n v="16.149999999999999"/>
    <n v="33"/>
    <x v="1"/>
    <x v="3"/>
  </r>
  <r>
    <n v="100753"/>
    <x v="403"/>
    <s v="AD-8695-A"/>
    <x v="3"/>
    <x v="2"/>
    <x v="1"/>
    <x v="1"/>
    <x v="2"/>
    <n v="15.95"/>
    <n v="0"/>
    <n v="47.85"/>
    <n v="14.86"/>
    <n v="23"/>
    <x v="1"/>
    <x v="7"/>
  </r>
  <r>
    <n v="100172"/>
    <x v="380"/>
    <s v="AD-4950-A"/>
    <x v="12"/>
    <x v="0"/>
    <x v="4"/>
    <x v="0"/>
    <x v="2"/>
    <n v="138.93"/>
    <n v="0"/>
    <n v="416.79"/>
    <n v="123.68"/>
    <n v="31"/>
    <x v="0"/>
    <x v="4"/>
  </r>
  <r>
    <n v="100450"/>
    <x v="68"/>
    <s v="AD-4368-D"/>
    <x v="2"/>
    <x v="1"/>
    <x v="0"/>
    <x v="0"/>
    <x v="3"/>
    <n v="89.51"/>
    <n v="20"/>
    <n v="71.61"/>
    <n v="22.12"/>
    <n v="29"/>
    <x v="0"/>
    <x v="1"/>
  </r>
  <r>
    <n v="100125"/>
    <x v="450"/>
    <s v="AD-8504-A"/>
    <x v="17"/>
    <x v="2"/>
    <x v="1"/>
    <x v="3"/>
    <x v="2"/>
    <n v="42.16"/>
    <n v="10"/>
    <n v="113.83"/>
    <n v="37.299999999999997"/>
    <n v="25"/>
    <x v="1"/>
    <x v="0"/>
  </r>
  <r>
    <n v="100930"/>
    <x v="195"/>
    <s v="AD-8713-C"/>
    <x v="3"/>
    <x v="2"/>
    <x v="1"/>
    <x v="0"/>
    <x v="2"/>
    <n v="19.149999999999999"/>
    <n v="10"/>
    <n v="51.7"/>
    <n v="15.64"/>
    <n v="22"/>
    <x v="0"/>
    <x v="3"/>
  </r>
  <r>
    <n v="100530"/>
    <x v="451"/>
    <s v="AD-7885-C"/>
    <x v="3"/>
    <x v="2"/>
    <x v="4"/>
    <x v="0"/>
    <x v="2"/>
    <n v="17.489999999999998"/>
    <n v="0"/>
    <n v="52.47"/>
    <n v="27.18"/>
    <n v="41"/>
    <x v="1"/>
    <x v="4"/>
  </r>
  <r>
    <n v="100090"/>
    <x v="452"/>
    <s v="AD-4073-C"/>
    <x v="10"/>
    <x v="2"/>
    <x v="4"/>
    <x v="2"/>
    <x v="1"/>
    <n v="47.21"/>
    <n v="0"/>
    <n v="94.42"/>
    <n v="36.17"/>
    <n v="27"/>
    <x v="1"/>
    <x v="7"/>
  </r>
  <r>
    <n v="101161"/>
    <x v="453"/>
    <s v="AD-4740-B"/>
    <x v="5"/>
    <x v="0"/>
    <x v="4"/>
    <x v="0"/>
    <x v="2"/>
    <n v="73.75"/>
    <n v="5"/>
    <n v="210.19"/>
    <n v="40.81"/>
    <n v="26"/>
    <x v="0"/>
    <x v="0"/>
  </r>
  <r>
    <n v="100181"/>
    <x v="330"/>
    <s v="AD-8179-A"/>
    <x v="12"/>
    <x v="0"/>
    <x v="0"/>
    <x v="1"/>
    <x v="4"/>
    <n v="156.16999999999999"/>
    <n v="5"/>
    <n v="593.45000000000005"/>
    <n v="178.37"/>
    <n v="33"/>
    <x v="0"/>
    <x v="3"/>
  </r>
  <r>
    <n v="101026"/>
    <x v="454"/>
    <s v="AD-2780-D"/>
    <x v="9"/>
    <x v="2"/>
    <x v="4"/>
    <x v="0"/>
    <x v="4"/>
    <n v="21.68"/>
    <n v="5"/>
    <n v="82.38"/>
    <n v="27.07"/>
    <n v="30"/>
    <x v="1"/>
    <x v="0"/>
  </r>
  <r>
    <n v="100999"/>
    <x v="455"/>
    <s v="AD-2922-B"/>
    <x v="10"/>
    <x v="2"/>
    <x v="1"/>
    <x v="2"/>
    <x v="3"/>
    <n v="47.77"/>
    <n v="0"/>
    <n v="47.77"/>
    <n v="16.89"/>
    <n v="37"/>
    <x v="0"/>
    <x v="6"/>
  </r>
  <r>
    <n v="100251"/>
    <x v="456"/>
    <s v="AD-5836-B"/>
    <x v="4"/>
    <x v="2"/>
    <x v="2"/>
    <x v="1"/>
    <x v="1"/>
    <n v="56.19"/>
    <n v="10"/>
    <n v="101.14"/>
    <n v="26.53"/>
    <n v="33"/>
    <x v="1"/>
    <x v="2"/>
  </r>
  <r>
    <n v="100069"/>
    <x v="449"/>
    <s v="AD-3979-D"/>
    <x v="3"/>
    <x v="2"/>
    <x v="0"/>
    <x v="0"/>
    <x v="1"/>
    <n v="18.66"/>
    <n v="0"/>
    <n v="37.32"/>
    <n v="12.5"/>
    <n v="37"/>
    <x v="1"/>
    <x v="4"/>
  </r>
  <r>
    <n v="100131"/>
    <x v="457"/>
    <s v="AD-3002-D"/>
    <x v="11"/>
    <x v="0"/>
    <x v="0"/>
    <x v="1"/>
    <x v="4"/>
    <n v="29.45"/>
    <n v="0"/>
    <n v="117.8"/>
    <n v="44.62"/>
    <n v="21"/>
    <x v="0"/>
    <x v="4"/>
  </r>
  <r>
    <n v="100300"/>
    <x v="116"/>
    <s v="AD-9428-A"/>
    <x v="1"/>
    <x v="0"/>
    <x v="4"/>
    <x v="3"/>
    <x v="2"/>
    <n v="26.27"/>
    <n v="0"/>
    <n v="78.81"/>
    <n v="19.940000000000001"/>
    <n v="33"/>
    <x v="1"/>
    <x v="0"/>
  </r>
  <r>
    <n v="101132"/>
    <x v="458"/>
    <s v="AD-7525-A"/>
    <x v="15"/>
    <x v="1"/>
    <x v="4"/>
    <x v="0"/>
    <x v="1"/>
    <n v="150.02000000000001"/>
    <n v="0"/>
    <n v="300.04000000000002"/>
    <n v="113.01"/>
    <n v="41"/>
    <x v="0"/>
    <x v="4"/>
  </r>
  <r>
    <n v="100326"/>
    <x v="27"/>
    <s v="AD-1721-A"/>
    <x v="18"/>
    <x v="1"/>
    <x v="0"/>
    <x v="0"/>
    <x v="2"/>
    <n v="91.04"/>
    <n v="0"/>
    <n v="273.12"/>
    <n v="74.739999999999995"/>
    <n v="32"/>
    <x v="0"/>
    <x v="7"/>
  </r>
  <r>
    <n v="101019"/>
    <x v="187"/>
    <s v="AD-8350-B"/>
    <x v="6"/>
    <x v="1"/>
    <x v="0"/>
    <x v="1"/>
    <x v="1"/>
    <n v="166.26"/>
    <n v="0"/>
    <n v="332.52"/>
    <n v="103.33"/>
    <n v="36"/>
    <x v="1"/>
    <x v="7"/>
  </r>
  <r>
    <n v="100499"/>
    <x v="459"/>
    <s v="AD-7536-C"/>
    <x v="11"/>
    <x v="0"/>
    <x v="4"/>
    <x v="2"/>
    <x v="3"/>
    <n v="31.4"/>
    <n v="0"/>
    <n v="31.4"/>
    <n v="7"/>
    <n v="41"/>
    <x v="1"/>
    <x v="1"/>
  </r>
  <r>
    <n v="100665"/>
    <x v="460"/>
    <s v="AD-6886-D"/>
    <x v="15"/>
    <x v="1"/>
    <x v="0"/>
    <x v="0"/>
    <x v="1"/>
    <n v="151.47999999999999"/>
    <n v="0"/>
    <n v="302.95999999999998"/>
    <n v="94.41"/>
    <n v="23"/>
    <x v="1"/>
    <x v="1"/>
  </r>
  <r>
    <n v="100918"/>
    <x v="216"/>
    <s v="AD-4058-B"/>
    <x v="18"/>
    <x v="1"/>
    <x v="4"/>
    <x v="2"/>
    <x v="2"/>
    <n v="73.52"/>
    <n v="0"/>
    <n v="220.56"/>
    <n v="53.82"/>
    <n v="18"/>
    <x v="0"/>
    <x v="7"/>
  </r>
  <r>
    <n v="100495"/>
    <x v="454"/>
    <s v="AD-7670-A"/>
    <x v="19"/>
    <x v="1"/>
    <x v="1"/>
    <x v="0"/>
    <x v="4"/>
    <n v="122.85"/>
    <n v="0"/>
    <n v="491.4"/>
    <n v="152.88"/>
    <n v="26"/>
    <x v="1"/>
    <x v="3"/>
  </r>
  <r>
    <n v="100338"/>
    <x v="160"/>
    <s v="AD-6051-D"/>
    <x v="3"/>
    <x v="2"/>
    <x v="4"/>
    <x v="0"/>
    <x v="3"/>
    <n v="18.12"/>
    <n v="5"/>
    <n v="17.21"/>
    <n v="3.92"/>
    <n v="38"/>
    <x v="0"/>
    <x v="5"/>
  </r>
  <r>
    <n v="100963"/>
    <x v="168"/>
    <s v="AD-8060-B"/>
    <x v="9"/>
    <x v="2"/>
    <x v="4"/>
    <x v="1"/>
    <x v="2"/>
    <n v="23.28"/>
    <n v="10"/>
    <n v="62.86"/>
    <n v="23.53"/>
    <n v="25"/>
    <x v="1"/>
    <x v="0"/>
  </r>
  <r>
    <n v="100164"/>
    <x v="461"/>
    <s v="AD-8391-C"/>
    <x v="7"/>
    <x v="1"/>
    <x v="2"/>
    <x v="0"/>
    <x v="3"/>
    <n v="168.43"/>
    <n v="40"/>
    <n v="101.06"/>
    <n v="40.479999999999997"/>
    <n v="16"/>
    <x v="1"/>
    <x v="6"/>
  </r>
  <r>
    <n v="100028"/>
    <x v="462"/>
    <s v="AD-1651-A"/>
    <x v="2"/>
    <x v="1"/>
    <x v="4"/>
    <x v="0"/>
    <x v="0"/>
    <n v="92.53"/>
    <n v="0"/>
    <n v="462.65"/>
    <n v="134.03"/>
    <n v="34"/>
    <x v="0"/>
    <x v="6"/>
  </r>
  <r>
    <n v="100516"/>
    <x v="463"/>
    <s v="AD-5444-D"/>
    <x v="13"/>
    <x v="0"/>
    <x v="1"/>
    <x v="0"/>
    <x v="1"/>
    <n v="128.6"/>
    <n v="20"/>
    <n v="205.76"/>
    <n v="49.82"/>
    <n v="32"/>
    <x v="1"/>
    <x v="2"/>
  </r>
  <r>
    <n v="100193"/>
    <x v="263"/>
    <s v="AD-1674-A"/>
    <x v="7"/>
    <x v="1"/>
    <x v="0"/>
    <x v="0"/>
    <x v="4"/>
    <n v="172.16"/>
    <n v="0"/>
    <n v="688.64"/>
    <n v="193.87"/>
    <n v="31"/>
    <x v="0"/>
    <x v="4"/>
  </r>
  <r>
    <n v="101103"/>
    <x v="464"/>
    <s v="AD-6304-C"/>
    <x v="6"/>
    <x v="1"/>
    <x v="2"/>
    <x v="0"/>
    <x v="0"/>
    <n v="200.05"/>
    <n v="0"/>
    <n v="1000.25"/>
    <n v="230.51"/>
    <n v="26"/>
    <x v="0"/>
    <x v="3"/>
  </r>
  <r>
    <n v="100169"/>
    <x v="465"/>
    <s v="AD-9189-A"/>
    <x v="18"/>
    <x v="1"/>
    <x v="1"/>
    <x v="1"/>
    <x v="1"/>
    <n v="79.33"/>
    <n v="10"/>
    <n v="142.79"/>
    <n v="45.82"/>
    <n v="33"/>
    <x v="1"/>
    <x v="1"/>
  </r>
  <r>
    <n v="101058"/>
    <x v="236"/>
    <s v="AD-6036-C"/>
    <x v="2"/>
    <x v="1"/>
    <x v="1"/>
    <x v="1"/>
    <x v="4"/>
    <n v="88.34"/>
    <n v="20"/>
    <n v="282.69"/>
    <n v="73.42"/>
    <n v="29"/>
    <x v="1"/>
    <x v="3"/>
  </r>
  <r>
    <n v="100173"/>
    <x v="174"/>
    <s v="AD-8612-D"/>
    <x v="17"/>
    <x v="2"/>
    <x v="1"/>
    <x v="0"/>
    <x v="3"/>
    <n v="41.31"/>
    <n v="0"/>
    <n v="41.31"/>
    <n v="16.739999999999998"/>
    <n v="21"/>
    <x v="1"/>
    <x v="3"/>
  </r>
  <r>
    <n v="100518"/>
    <x v="212"/>
    <s v="AD-2565-A"/>
    <x v="1"/>
    <x v="0"/>
    <x v="0"/>
    <x v="0"/>
    <x v="3"/>
    <n v="24.59"/>
    <n v="0"/>
    <n v="24.59"/>
    <n v="5.78"/>
    <n v="24"/>
    <x v="1"/>
    <x v="1"/>
  </r>
  <r>
    <n v="100968"/>
    <x v="466"/>
    <s v="AD-8753-C"/>
    <x v="6"/>
    <x v="1"/>
    <x v="1"/>
    <x v="3"/>
    <x v="4"/>
    <n v="172.75"/>
    <n v="5"/>
    <n v="656.45"/>
    <n v="191.99"/>
    <n v="32"/>
    <x v="1"/>
    <x v="5"/>
  </r>
  <r>
    <n v="100701"/>
    <x v="467"/>
    <s v="AD-7824-B"/>
    <x v="14"/>
    <x v="1"/>
    <x v="2"/>
    <x v="1"/>
    <x v="0"/>
    <n v="246.47"/>
    <n v="5"/>
    <n v="1170.73"/>
    <n v="364.43"/>
    <n v="30"/>
    <x v="0"/>
    <x v="0"/>
  </r>
  <r>
    <n v="100491"/>
    <x v="468"/>
    <s v="AD-4190-A"/>
    <x v="9"/>
    <x v="2"/>
    <x v="4"/>
    <x v="1"/>
    <x v="0"/>
    <n v="24.56"/>
    <n v="5"/>
    <n v="116.66"/>
    <n v="47.27"/>
    <n v="42"/>
    <x v="0"/>
    <x v="0"/>
  </r>
  <r>
    <n v="100073"/>
    <x v="201"/>
    <s v="AD-4155-C"/>
    <x v="8"/>
    <x v="2"/>
    <x v="0"/>
    <x v="0"/>
    <x v="3"/>
    <n v="12.83"/>
    <n v="5"/>
    <n v="12.19"/>
    <n v="4.3099999999999996"/>
    <n v="45"/>
    <x v="1"/>
    <x v="1"/>
  </r>
  <r>
    <n v="100980"/>
    <x v="377"/>
    <s v="AD-4823-B"/>
    <x v="13"/>
    <x v="0"/>
    <x v="0"/>
    <x v="1"/>
    <x v="2"/>
    <n v="106.58"/>
    <n v="5"/>
    <n v="303.75"/>
    <n v="106.97"/>
    <n v="42"/>
    <x v="1"/>
    <x v="2"/>
  </r>
  <r>
    <n v="100587"/>
    <x v="469"/>
    <s v="AD-8558-B"/>
    <x v="15"/>
    <x v="1"/>
    <x v="1"/>
    <x v="2"/>
    <x v="1"/>
    <n v="159.36000000000001"/>
    <n v="20"/>
    <n v="254.98"/>
    <n v="91.92"/>
    <n v="27"/>
    <x v="0"/>
    <x v="0"/>
  </r>
  <r>
    <n v="100234"/>
    <x v="329"/>
    <s v="AD-7887-C"/>
    <x v="2"/>
    <x v="1"/>
    <x v="1"/>
    <x v="0"/>
    <x v="1"/>
    <n v="97.39"/>
    <n v="0"/>
    <n v="194.78"/>
    <n v="58.41"/>
    <n v="18"/>
    <x v="1"/>
    <x v="3"/>
  </r>
  <r>
    <n v="100214"/>
    <x v="423"/>
    <s v="AD-9899-D"/>
    <x v="9"/>
    <x v="2"/>
    <x v="3"/>
    <x v="1"/>
    <x v="1"/>
    <n v="22.53"/>
    <n v="5"/>
    <n v="42.81"/>
    <n v="11.87"/>
    <n v="29"/>
    <x v="1"/>
    <x v="1"/>
  </r>
  <r>
    <n v="100946"/>
    <x v="470"/>
    <s v="AD-4644-D"/>
    <x v="13"/>
    <x v="0"/>
    <x v="4"/>
    <x v="0"/>
    <x v="4"/>
    <n v="124.12"/>
    <n v="5"/>
    <n v="471.66"/>
    <n v="155.6"/>
    <n v="27"/>
    <x v="0"/>
    <x v="6"/>
  </r>
  <r>
    <n v="100132"/>
    <x v="149"/>
    <s v="AD-2697-B"/>
    <x v="4"/>
    <x v="2"/>
    <x v="0"/>
    <x v="3"/>
    <x v="1"/>
    <n v="56.85"/>
    <n v="0"/>
    <n v="113.7"/>
    <n v="30.06"/>
    <n v="16"/>
    <x v="0"/>
    <x v="4"/>
  </r>
  <r>
    <n v="101155"/>
    <x v="471"/>
    <s v="AD-9718-A"/>
    <x v="18"/>
    <x v="1"/>
    <x v="4"/>
    <x v="0"/>
    <x v="1"/>
    <n v="78.760000000000005"/>
    <n v="20"/>
    <n v="126.02"/>
    <n v="38.71"/>
    <n v="36"/>
    <x v="1"/>
    <x v="1"/>
  </r>
  <r>
    <n v="100732"/>
    <x v="154"/>
    <s v="AD-6698-C"/>
    <x v="16"/>
    <x v="1"/>
    <x v="1"/>
    <x v="0"/>
    <x v="4"/>
    <n v="32.520000000000003"/>
    <n v="20"/>
    <n v="104.06"/>
    <n v="17.75"/>
    <n v="21"/>
    <x v="0"/>
    <x v="0"/>
  </r>
  <r>
    <n v="100940"/>
    <x v="472"/>
    <s v="AD-6440-B"/>
    <x v="13"/>
    <x v="0"/>
    <x v="0"/>
    <x v="1"/>
    <x v="1"/>
    <n v="119.44"/>
    <n v="0"/>
    <n v="238.88"/>
    <n v="56.35"/>
    <n v="48"/>
    <x v="0"/>
    <x v="3"/>
  </r>
  <r>
    <n v="100185"/>
    <x v="473"/>
    <s v="AD-3009-B"/>
    <x v="3"/>
    <x v="2"/>
    <x v="0"/>
    <x v="1"/>
    <x v="2"/>
    <n v="18.809999999999999"/>
    <n v="20"/>
    <n v="45.14"/>
    <n v="13.47"/>
    <n v="16"/>
    <x v="2"/>
    <x v="6"/>
  </r>
  <r>
    <n v="100041"/>
    <x v="452"/>
    <s v="AD-1452-A"/>
    <x v="2"/>
    <x v="1"/>
    <x v="4"/>
    <x v="1"/>
    <x v="3"/>
    <n v="103.28"/>
    <n v="0"/>
    <n v="103.28"/>
    <n v="39.04"/>
    <n v="31"/>
    <x v="1"/>
    <x v="4"/>
  </r>
  <r>
    <n v="100108"/>
    <x v="474"/>
    <s v="AD-5689-B"/>
    <x v="17"/>
    <x v="2"/>
    <x v="0"/>
    <x v="3"/>
    <x v="2"/>
    <n v="39.619999999999997"/>
    <n v="0"/>
    <n v="118.86"/>
    <n v="40.17"/>
    <n v="33"/>
    <x v="0"/>
    <x v="5"/>
  </r>
  <r>
    <n v="100848"/>
    <x v="86"/>
    <s v="AD-5644-B"/>
    <x v="6"/>
    <x v="1"/>
    <x v="4"/>
    <x v="1"/>
    <x v="0"/>
    <n v="199.39"/>
    <n v="0"/>
    <n v="996.95"/>
    <n v="236.22"/>
    <n v="29"/>
    <x v="1"/>
    <x v="0"/>
  </r>
  <r>
    <n v="100568"/>
    <x v="170"/>
    <s v="AD-4339-C"/>
    <x v="18"/>
    <x v="1"/>
    <x v="1"/>
    <x v="0"/>
    <x v="1"/>
    <n v="89.15"/>
    <n v="5"/>
    <n v="169.38"/>
    <n v="52.14"/>
    <n v="35"/>
    <x v="0"/>
    <x v="6"/>
  </r>
  <r>
    <n v="100650"/>
    <x v="475"/>
    <s v="AD-7258-C"/>
    <x v="12"/>
    <x v="0"/>
    <x v="4"/>
    <x v="2"/>
    <x v="3"/>
    <n v="138.97999999999999"/>
    <n v="5"/>
    <n v="132.03"/>
    <n v="36.33"/>
    <n v="16"/>
    <x v="1"/>
    <x v="5"/>
  </r>
  <r>
    <n v="101000"/>
    <x v="364"/>
    <s v="AD-3110-B"/>
    <x v="19"/>
    <x v="1"/>
    <x v="4"/>
    <x v="0"/>
    <x v="2"/>
    <n v="127.38"/>
    <n v="0"/>
    <n v="382.14"/>
    <n v="91.64"/>
    <n v="27"/>
    <x v="1"/>
    <x v="7"/>
  </r>
  <r>
    <n v="101165"/>
    <x v="218"/>
    <s v="AD-4175-D"/>
    <x v="6"/>
    <x v="1"/>
    <x v="0"/>
    <x v="3"/>
    <x v="2"/>
    <n v="170.5"/>
    <n v="20"/>
    <n v="409.2"/>
    <n v="112.45"/>
    <n v="34"/>
    <x v="1"/>
    <x v="1"/>
  </r>
  <r>
    <n v="100483"/>
    <x v="201"/>
    <s v="AD-5223-B"/>
    <x v="14"/>
    <x v="1"/>
    <x v="0"/>
    <x v="2"/>
    <x v="4"/>
    <n v="222.32"/>
    <n v="40"/>
    <n v="533.57000000000005"/>
    <n v="153.69999999999999"/>
    <n v="41"/>
    <x v="1"/>
    <x v="2"/>
  </r>
  <r>
    <n v="100468"/>
    <x v="476"/>
    <s v="AD-6878-A"/>
    <x v="7"/>
    <x v="1"/>
    <x v="3"/>
    <x v="1"/>
    <x v="1"/>
    <n v="143.91999999999999"/>
    <n v="20"/>
    <n v="230.27"/>
    <n v="78.44"/>
    <n v="36"/>
    <x v="0"/>
    <x v="5"/>
  </r>
  <r>
    <n v="100024"/>
    <x v="228"/>
    <s v="AD-7570-A"/>
    <x v="2"/>
    <x v="1"/>
    <x v="2"/>
    <x v="0"/>
    <x v="2"/>
    <n v="88.31"/>
    <n v="0"/>
    <n v="264.93"/>
    <n v="80.5"/>
    <n v="30"/>
    <x v="1"/>
    <x v="6"/>
  </r>
  <r>
    <n v="100660"/>
    <x v="477"/>
    <s v="AD-3438-A"/>
    <x v="2"/>
    <x v="1"/>
    <x v="0"/>
    <x v="1"/>
    <x v="2"/>
    <n v="94.21"/>
    <n v="10"/>
    <n v="254.37"/>
    <n v="60.55"/>
    <n v="39"/>
    <x v="1"/>
    <x v="5"/>
  </r>
  <r>
    <n v="100679"/>
    <x v="478"/>
    <s v="AD-9151-B"/>
    <x v="15"/>
    <x v="1"/>
    <x v="0"/>
    <x v="1"/>
    <x v="1"/>
    <n v="155.49"/>
    <n v="20"/>
    <n v="248.78"/>
    <n v="62.32"/>
    <n v="29"/>
    <x v="0"/>
    <x v="5"/>
  </r>
  <r>
    <n v="100752"/>
    <x v="365"/>
    <s v="AD-9821-C"/>
    <x v="2"/>
    <x v="1"/>
    <x v="4"/>
    <x v="0"/>
    <x v="3"/>
    <n v="91.04"/>
    <n v="0"/>
    <n v="91.04"/>
    <n v="20.12"/>
    <n v="47"/>
    <x v="1"/>
    <x v="7"/>
  </r>
  <r>
    <n v="100993"/>
    <x v="479"/>
    <s v="AD-2922-C"/>
    <x v="7"/>
    <x v="1"/>
    <x v="4"/>
    <x v="3"/>
    <x v="2"/>
    <n v="155.56"/>
    <n v="0"/>
    <n v="466.68"/>
    <n v="133.65"/>
    <n v="39"/>
    <x v="1"/>
    <x v="7"/>
  </r>
  <r>
    <n v="100366"/>
    <x v="131"/>
    <s v="AD-1062-D"/>
    <x v="18"/>
    <x v="1"/>
    <x v="0"/>
    <x v="2"/>
    <x v="2"/>
    <n v="80.47"/>
    <n v="10"/>
    <n v="217.27"/>
    <n v="74.67"/>
    <n v="33"/>
    <x v="1"/>
    <x v="4"/>
  </r>
  <r>
    <n v="100839"/>
    <x v="129"/>
    <s v="AD-3028-A"/>
    <x v="4"/>
    <x v="2"/>
    <x v="4"/>
    <x v="0"/>
    <x v="2"/>
    <n v="62.16"/>
    <n v="0"/>
    <n v="186.48"/>
    <n v="45.95"/>
    <n v="32"/>
    <x v="1"/>
    <x v="4"/>
  </r>
  <r>
    <n v="101052"/>
    <x v="480"/>
    <s v="AD-3550-D"/>
    <x v="19"/>
    <x v="1"/>
    <x v="0"/>
    <x v="0"/>
    <x v="2"/>
    <n v="129.12"/>
    <n v="0"/>
    <n v="387.36"/>
    <n v="119.57"/>
    <n v="43"/>
    <x v="1"/>
    <x v="2"/>
  </r>
  <r>
    <n v="100383"/>
    <x v="413"/>
    <s v="AD-6904-B"/>
    <x v="16"/>
    <x v="1"/>
    <x v="4"/>
    <x v="0"/>
    <x v="2"/>
    <n v="37.49"/>
    <n v="0"/>
    <n v="112.47"/>
    <n v="30.79"/>
    <n v="31"/>
    <x v="1"/>
    <x v="7"/>
  </r>
  <r>
    <n v="100454"/>
    <x v="481"/>
    <s v="AD-7249-D"/>
    <x v="10"/>
    <x v="2"/>
    <x v="0"/>
    <x v="0"/>
    <x v="1"/>
    <n v="46.99"/>
    <n v="10"/>
    <n v="84.58"/>
    <n v="29.93"/>
    <n v="38"/>
    <x v="1"/>
    <x v="5"/>
  </r>
  <r>
    <n v="100264"/>
    <x v="303"/>
    <s v="AD-6347-A"/>
    <x v="11"/>
    <x v="0"/>
    <x v="1"/>
    <x v="2"/>
    <x v="1"/>
    <n v="28.07"/>
    <n v="10"/>
    <n v="50.53"/>
    <n v="18.09"/>
    <n v="35"/>
    <x v="1"/>
    <x v="2"/>
  </r>
  <r>
    <n v="100760"/>
    <x v="482"/>
    <s v="AD-7721-C"/>
    <x v="3"/>
    <x v="2"/>
    <x v="4"/>
    <x v="1"/>
    <x v="1"/>
    <n v="19.100000000000001"/>
    <n v="10"/>
    <n v="34.380000000000003"/>
    <n v="14.06"/>
    <n v="28"/>
    <x v="1"/>
    <x v="2"/>
  </r>
  <r>
    <n v="100979"/>
    <x v="420"/>
    <s v="AD-4666-A"/>
    <x v="18"/>
    <x v="1"/>
    <x v="2"/>
    <x v="1"/>
    <x v="4"/>
    <n v="91.51"/>
    <n v="0"/>
    <n v="366.04"/>
    <n v="115.45"/>
    <n v="46"/>
    <x v="1"/>
    <x v="4"/>
  </r>
  <r>
    <n v="100444"/>
    <x v="483"/>
    <s v="AD-9037-C"/>
    <x v="14"/>
    <x v="1"/>
    <x v="2"/>
    <x v="1"/>
    <x v="3"/>
    <n v="200.35"/>
    <n v="10"/>
    <n v="180.31"/>
    <n v="65.23"/>
    <n v="34"/>
    <x v="0"/>
    <x v="0"/>
  </r>
  <r>
    <n v="100395"/>
    <x v="151"/>
    <s v="AD-5237-B"/>
    <x v="7"/>
    <x v="1"/>
    <x v="2"/>
    <x v="0"/>
    <x v="1"/>
    <n v="167.72"/>
    <n v="0"/>
    <n v="335.44"/>
    <n v="101.32"/>
    <n v="21"/>
    <x v="1"/>
    <x v="3"/>
  </r>
  <r>
    <n v="100741"/>
    <x v="311"/>
    <s v="AD-9177-C"/>
    <x v="16"/>
    <x v="1"/>
    <x v="0"/>
    <x v="3"/>
    <x v="2"/>
    <n v="36.020000000000003"/>
    <n v="5"/>
    <n v="102.66"/>
    <n v="24.89"/>
    <n v="32"/>
    <x v="1"/>
    <x v="2"/>
  </r>
  <r>
    <n v="100176"/>
    <x v="484"/>
    <s v="AD-3039-C"/>
    <x v="16"/>
    <x v="1"/>
    <x v="2"/>
    <x v="0"/>
    <x v="2"/>
    <n v="33.450000000000003"/>
    <n v="5"/>
    <n v="95.33"/>
    <n v="37.57"/>
    <n v="20"/>
    <x v="0"/>
    <x v="0"/>
  </r>
  <r>
    <n v="100018"/>
    <x v="485"/>
    <s v="AD-1964-B"/>
    <x v="2"/>
    <x v="1"/>
    <x v="0"/>
    <x v="0"/>
    <x v="3"/>
    <n v="97.25"/>
    <n v="5"/>
    <n v="92.39"/>
    <n v="28.92"/>
    <n v="16"/>
    <x v="1"/>
    <x v="1"/>
  </r>
  <r>
    <n v="100948"/>
    <x v="486"/>
    <s v="AD-4871-A"/>
    <x v="16"/>
    <x v="1"/>
    <x v="4"/>
    <x v="1"/>
    <x v="4"/>
    <n v="31.44"/>
    <n v="10"/>
    <n v="113.18"/>
    <n v="31.47"/>
    <n v="32"/>
    <x v="0"/>
    <x v="6"/>
  </r>
  <r>
    <n v="100814"/>
    <x v="405"/>
    <s v="AD-8947-D"/>
    <x v="3"/>
    <x v="2"/>
    <x v="1"/>
    <x v="0"/>
    <x v="2"/>
    <n v="16.649999999999999"/>
    <n v="10"/>
    <n v="44.95"/>
    <n v="13.07"/>
    <n v="21"/>
    <x v="0"/>
    <x v="5"/>
  </r>
  <r>
    <n v="100595"/>
    <x v="487"/>
    <s v="AD-5009-C"/>
    <x v="17"/>
    <x v="2"/>
    <x v="1"/>
    <x v="0"/>
    <x v="4"/>
    <n v="41.65"/>
    <n v="0"/>
    <n v="166.6"/>
    <n v="45.88"/>
    <n v="40"/>
    <x v="0"/>
    <x v="7"/>
  </r>
  <r>
    <n v="100061"/>
    <x v="245"/>
    <s v="AD-2124-A"/>
    <x v="2"/>
    <x v="1"/>
    <x v="0"/>
    <x v="0"/>
    <x v="4"/>
    <n v="85.91"/>
    <n v="5"/>
    <n v="326.45999999999998"/>
    <n v="86.53"/>
    <n v="29"/>
    <x v="0"/>
    <x v="6"/>
  </r>
  <r>
    <n v="100272"/>
    <x v="392"/>
    <s v="AD-4203-D"/>
    <x v="0"/>
    <x v="0"/>
    <x v="4"/>
    <x v="0"/>
    <x v="0"/>
    <n v="53.91"/>
    <n v="5"/>
    <n v="256.07"/>
    <n v="96.4"/>
    <n v="32"/>
    <x v="1"/>
    <x v="5"/>
  </r>
  <r>
    <n v="101125"/>
    <x v="272"/>
    <s v="AD-9548-C"/>
    <x v="13"/>
    <x v="0"/>
    <x v="1"/>
    <x v="1"/>
    <x v="1"/>
    <n v="130.97999999999999"/>
    <n v="0"/>
    <n v="261.95999999999998"/>
    <n v="50.79"/>
    <n v="25"/>
    <x v="1"/>
    <x v="3"/>
  </r>
  <r>
    <n v="100278"/>
    <x v="89"/>
    <s v="AD-8357-D"/>
    <x v="0"/>
    <x v="0"/>
    <x v="0"/>
    <x v="1"/>
    <x v="2"/>
    <n v="56.15"/>
    <n v="20"/>
    <n v="134.76"/>
    <n v="26.41"/>
    <n v="39"/>
    <x v="0"/>
    <x v="1"/>
  </r>
  <r>
    <n v="100841"/>
    <x v="488"/>
    <s v="AD-9514-B"/>
    <x v="0"/>
    <x v="0"/>
    <x v="0"/>
    <x v="1"/>
    <x v="2"/>
    <n v="52.46"/>
    <n v="5"/>
    <n v="149.51"/>
    <n v="30.77"/>
    <n v="35"/>
    <x v="0"/>
    <x v="2"/>
  </r>
  <r>
    <n v="100368"/>
    <x v="489"/>
    <s v="AD-2493-D"/>
    <x v="2"/>
    <x v="1"/>
    <x v="4"/>
    <x v="1"/>
    <x v="4"/>
    <n v="90.47"/>
    <n v="5"/>
    <n v="343.79"/>
    <n v="126.76"/>
    <n v="29"/>
    <x v="1"/>
    <x v="0"/>
  </r>
  <r>
    <n v="100886"/>
    <x v="490"/>
    <s v="AD-8439-C"/>
    <x v="4"/>
    <x v="2"/>
    <x v="0"/>
    <x v="0"/>
    <x v="5"/>
    <n v="53.45"/>
    <n v="0"/>
    <n v="320.7"/>
    <n v="121.58"/>
    <n v="31"/>
    <x v="0"/>
    <x v="7"/>
  </r>
  <r>
    <n v="101014"/>
    <x v="491"/>
    <s v="AD-8678-C"/>
    <x v="5"/>
    <x v="0"/>
    <x v="1"/>
    <x v="1"/>
    <x v="1"/>
    <n v="74.92"/>
    <n v="0"/>
    <n v="149.84"/>
    <n v="35.03"/>
    <n v="35"/>
    <x v="1"/>
    <x v="4"/>
  </r>
  <r>
    <n v="100859"/>
    <x v="492"/>
    <s v="AD-1849-B"/>
    <x v="12"/>
    <x v="0"/>
    <x v="4"/>
    <x v="2"/>
    <x v="3"/>
    <n v="149.31"/>
    <n v="10"/>
    <n v="134.38"/>
    <n v="43.48"/>
    <n v="31"/>
    <x v="1"/>
    <x v="1"/>
  </r>
  <r>
    <n v="100720"/>
    <x v="32"/>
    <s v="AD-9078-A"/>
    <x v="7"/>
    <x v="1"/>
    <x v="0"/>
    <x v="0"/>
    <x v="3"/>
    <n v="145.79"/>
    <n v="5"/>
    <n v="138.5"/>
    <n v="49.49"/>
    <n v="18"/>
    <x v="1"/>
    <x v="0"/>
  </r>
  <r>
    <n v="100825"/>
    <x v="493"/>
    <s v="AD-9444-A"/>
    <x v="13"/>
    <x v="0"/>
    <x v="0"/>
    <x v="1"/>
    <x v="1"/>
    <n v="130.29"/>
    <n v="0"/>
    <n v="260.58"/>
    <n v="71.010000000000005"/>
    <n v="36"/>
    <x v="0"/>
    <x v="3"/>
  </r>
  <r>
    <n v="100547"/>
    <x v="63"/>
    <s v="AD-7814-C"/>
    <x v="9"/>
    <x v="2"/>
    <x v="2"/>
    <x v="1"/>
    <x v="1"/>
    <n v="20.27"/>
    <n v="0"/>
    <n v="40.54"/>
    <n v="16.190000000000001"/>
    <n v="38"/>
    <x v="0"/>
    <x v="4"/>
  </r>
  <r>
    <n v="100879"/>
    <x v="494"/>
    <s v="AD-4696-D"/>
    <x v="4"/>
    <x v="2"/>
    <x v="1"/>
    <x v="0"/>
    <x v="2"/>
    <n v="60.59"/>
    <n v="0"/>
    <n v="181.77"/>
    <n v="68.459999999999994"/>
    <n v="34"/>
    <x v="1"/>
    <x v="7"/>
  </r>
  <r>
    <n v="100899"/>
    <x v="495"/>
    <s v="AD-2071-A"/>
    <x v="3"/>
    <x v="2"/>
    <x v="0"/>
    <x v="1"/>
    <x v="2"/>
    <n v="17.399999999999999"/>
    <n v="20"/>
    <n v="41.76"/>
    <n v="12.74"/>
    <n v="33"/>
    <x v="0"/>
    <x v="2"/>
  </r>
  <r>
    <n v="100456"/>
    <x v="496"/>
    <s v="AD-1082-D"/>
    <x v="11"/>
    <x v="0"/>
    <x v="4"/>
    <x v="2"/>
    <x v="2"/>
    <n v="31.37"/>
    <n v="0"/>
    <n v="94.11"/>
    <n v="26"/>
    <n v="23"/>
    <x v="1"/>
    <x v="7"/>
  </r>
  <r>
    <n v="100393"/>
    <x v="63"/>
    <s v="AD-4111-C"/>
    <x v="9"/>
    <x v="2"/>
    <x v="4"/>
    <x v="0"/>
    <x v="2"/>
    <n v="22.64"/>
    <n v="0"/>
    <n v="67.92"/>
    <n v="24.2"/>
    <n v="22"/>
    <x v="1"/>
    <x v="7"/>
  </r>
  <r>
    <n v="100675"/>
    <x v="497"/>
    <s v="AD-7819-D"/>
    <x v="9"/>
    <x v="2"/>
    <x v="4"/>
    <x v="3"/>
    <x v="4"/>
    <n v="22.33"/>
    <n v="10"/>
    <n v="80.39"/>
    <n v="25.99"/>
    <n v="33"/>
    <x v="0"/>
    <x v="0"/>
  </r>
  <r>
    <n v="100911"/>
    <x v="474"/>
    <s v="AD-8733-B"/>
    <x v="0"/>
    <x v="0"/>
    <x v="1"/>
    <x v="3"/>
    <x v="4"/>
    <n v="55.66"/>
    <n v="5"/>
    <n v="211.51"/>
    <n v="53.47"/>
    <n v="26"/>
    <x v="0"/>
    <x v="7"/>
  </r>
  <r>
    <n v="100964"/>
    <x v="498"/>
    <s v="AD-8383-B"/>
    <x v="11"/>
    <x v="0"/>
    <x v="4"/>
    <x v="1"/>
    <x v="0"/>
    <n v="28.98"/>
    <n v="20"/>
    <n v="115.92"/>
    <n v="39.82"/>
    <n v="29"/>
    <x v="1"/>
    <x v="1"/>
  </r>
  <r>
    <n v="100375"/>
    <x v="54"/>
    <s v="AD-2843-D"/>
    <x v="1"/>
    <x v="0"/>
    <x v="2"/>
    <x v="0"/>
    <x v="2"/>
    <n v="24.95"/>
    <n v="0"/>
    <n v="74.849999999999994"/>
    <n v="17.399999999999999"/>
    <n v="27"/>
    <x v="0"/>
    <x v="2"/>
  </r>
  <r>
    <n v="100412"/>
    <x v="499"/>
    <s v="AD-9383-A"/>
    <x v="2"/>
    <x v="1"/>
    <x v="2"/>
    <x v="1"/>
    <x v="0"/>
    <n v="91.74"/>
    <n v="0"/>
    <n v="458.7"/>
    <n v="151.11000000000001"/>
    <n v="30"/>
    <x v="1"/>
    <x v="1"/>
  </r>
  <r>
    <n v="100074"/>
    <x v="6"/>
    <s v="AD-9595-C"/>
    <x v="8"/>
    <x v="2"/>
    <x v="0"/>
    <x v="0"/>
    <x v="1"/>
    <n v="16.14"/>
    <n v="0"/>
    <n v="32.28"/>
    <n v="9.35"/>
    <n v="19"/>
    <x v="0"/>
    <x v="0"/>
  </r>
  <r>
    <n v="101121"/>
    <x v="178"/>
    <s v="AD-2817-D"/>
    <x v="2"/>
    <x v="1"/>
    <x v="0"/>
    <x v="1"/>
    <x v="0"/>
    <n v="85.87"/>
    <n v="0"/>
    <n v="429.35"/>
    <n v="171.55"/>
    <n v="33"/>
    <x v="0"/>
    <x v="1"/>
  </r>
  <r>
    <n v="100862"/>
    <x v="109"/>
    <s v="AD-3332-C"/>
    <x v="8"/>
    <x v="2"/>
    <x v="4"/>
    <x v="1"/>
    <x v="5"/>
    <n v="14.99"/>
    <n v="0"/>
    <n v="89.94"/>
    <n v="30.68"/>
    <n v="43"/>
    <x v="1"/>
    <x v="6"/>
  </r>
  <r>
    <n v="100500"/>
    <x v="500"/>
    <s v="AD-3994-B"/>
    <x v="8"/>
    <x v="2"/>
    <x v="1"/>
    <x v="0"/>
    <x v="1"/>
    <n v="14.45"/>
    <n v="0"/>
    <n v="28.9"/>
    <n v="9.4"/>
    <n v="27"/>
    <x v="0"/>
    <x v="0"/>
  </r>
  <r>
    <n v="100941"/>
    <x v="289"/>
    <s v="AD-7264-B"/>
    <x v="13"/>
    <x v="0"/>
    <x v="0"/>
    <x v="0"/>
    <x v="1"/>
    <n v="108.15"/>
    <n v="0"/>
    <n v="216.3"/>
    <n v="77.28"/>
    <n v="30"/>
    <x v="1"/>
    <x v="5"/>
  </r>
  <r>
    <n v="100616"/>
    <x v="458"/>
    <s v="AD-4438-C"/>
    <x v="15"/>
    <x v="1"/>
    <x v="0"/>
    <x v="1"/>
    <x v="5"/>
    <n v="149.62"/>
    <n v="10"/>
    <n v="807.95"/>
    <n v="253.48"/>
    <n v="23"/>
    <x v="1"/>
    <x v="0"/>
  </r>
  <r>
    <n v="100114"/>
    <x v="159"/>
    <s v="AD-7086-A"/>
    <x v="1"/>
    <x v="0"/>
    <x v="1"/>
    <x v="1"/>
    <x v="4"/>
    <n v="28.02"/>
    <n v="0"/>
    <n v="112.08"/>
    <n v="34.090000000000003"/>
    <n v="40"/>
    <x v="0"/>
    <x v="2"/>
  </r>
  <r>
    <n v="100417"/>
    <x v="501"/>
    <s v="AD-2699-D"/>
    <x v="7"/>
    <x v="1"/>
    <x v="0"/>
    <x v="0"/>
    <x v="1"/>
    <n v="164.55"/>
    <n v="10"/>
    <n v="296.19"/>
    <n v="70.34"/>
    <n v="34"/>
    <x v="0"/>
    <x v="3"/>
  </r>
  <r>
    <n v="100601"/>
    <x v="331"/>
    <s v="AD-7996-C"/>
    <x v="17"/>
    <x v="2"/>
    <x v="0"/>
    <x v="3"/>
    <x v="2"/>
    <n v="41.44"/>
    <n v="0"/>
    <n v="124.32"/>
    <n v="55.15"/>
    <n v="37"/>
    <x v="1"/>
    <x v="0"/>
  </r>
  <r>
    <n v="100604"/>
    <x v="502"/>
    <s v="AD-6468-C"/>
    <x v="18"/>
    <x v="1"/>
    <x v="4"/>
    <x v="1"/>
    <x v="4"/>
    <n v="83.05"/>
    <n v="0"/>
    <n v="332.2"/>
    <n v="64.53"/>
    <n v="28"/>
    <x v="1"/>
    <x v="7"/>
  </r>
  <r>
    <n v="100089"/>
    <x v="503"/>
    <s v="AD-2899-D"/>
    <x v="12"/>
    <x v="0"/>
    <x v="0"/>
    <x v="1"/>
    <x v="3"/>
    <n v="153.49"/>
    <n v="0"/>
    <n v="153.49"/>
    <n v="41.94"/>
    <n v="28"/>
    <x v="1"/>
    <x v="4"/>
  </r>
  <r>
    <n v="101148"/>
    <x v="504"/>
    <s v="AD-8438-B"/>
    <x v="16"/>
    <x v="1"/>
    <x v="0"/>
    <x v="1"/>
    <x v="2"/>
    <n v="35.85"/>
    <n v="0"/>
    <n v="107.55"/>
    <n v="29.32"/>
    <n v="20"/>
    <x v="1"/>
    <x v="0"/>
  </r>
  <r>
    <n v="100498"/>
    <x v="505"/>
    <s v="AD-6172-D"/>
    <x v="18"/>
    <x v="1"/>
    <x v="1"/>
    <x v="1"/>
    <x v="4"/>
    <n v="88.15"/>
    <n v="40"/>
    <n v="211.56"/>
    <n v="49.01"/>
    <n v="24"/>
    <x v="1"/>
    <x v="6"/>
  </r>
  <r>
    <n v="100875"/>
    <x v="140"/>
    <s v="AD-2070-B"/>
    <x v="8"/>
    <x v="2"/>
    <x v="0"/>
    <x v="1"/>
    <x v="3"/>
    <n v="15.3"/>
    <n v="20"/>
    <n v="12.24"/>
    <n v="3.03"/>
    <n v="23"/>
    <x v="0"/>
    <x v="3"/>
  </r>
  <r>
    <n v="100926"/>
    <x v="506"/>
    <s v="AD-2093-B"/>
    <x v="15"/>
    <x v="1"/>
    <x v="2"/>
    <x v="0"/>
    <x v="2"/>
    <n v="161.79"/>
    <n v="20"/>
    <n v="388.3"/>
    <n v="89.31"/>
    <n v="47"/>
    <x v="0"/>
    <x v="0"/>
  </r>
  <r>
    <n v="100998"/>
    <x v="507"/>
    <s v="AD-7451-D"/>
    <x v="13"/>
    <x v="0"/>
    <x v="2"/>
    <x v="1"/>
    <x v="1"/>
    <n v="112.59"/>
    <n v="10"/>
    <n v="202.66"/>
    <n v="50.69"/>
    <n v="27"/>
    <x v="1"/>
    <x v="7"/>
  </r>
  <r>
    <n v="100011"/>
    <x v="121"/>
    <s v="AD-2876-C"/>
    <x v="12"/>
    <x v="0"/>
    <x v="1"/>
    <x v="0"/>
    <x v="2"/>
    <n v="149.94"/>
    <n v="0"/>
    <n v="449.82"/>
    <n v="103.3"/>
    <n v="27"/>
    <x v="0"/>
    <x v="7"/>
  </r>
  <r>
    <n v="100396"/>
    <x v="424"/>
    <s v="AD-6428-C"/>
    <x v="13"/>
    <x v="0"/>
    <x v="4"/>
    <x v="0"/>
    <x v="3"/>
    <n v="127.11"/>
    <n v="0"/>
    <n v="127.11"/>
    <n v="31.68"/>
    <n v="17"/>
    <x v="0"/>
    <x v="2"/>
  </r>
  <r>
    <n v="100754"/>
    <x v="423"/>
    <s v="AD-6504-D"/>
    <x v="12"/>
    <x v="0"/>
    <x v="1"/>
    <x v="0"/>
    <x v="5"/>
    <n v="142.44"/>
    <n v="0"/>
    <n v="854.64"/>
    <n v="222.55"/>
    <n v="24"/>
    <x v="1"/>
    <x v="6"/>
  </r>
  <r>
    <n v="100555"/>
    <x v="508"/>
    <s v="AD-1618-D"/>
    <x v="1"/>
    <x v="0"/>
    <x v="1"/>
    <x v="1"/>
    <x v="3"/>
    <n v="24.52"/>
    <n v="0"/>
    <n v="24.52"/>
    <n v="8.2100000000000009"/>
    <n v="30"/>
    <x v="0"/>
    <x v="1"/>
  </r>
  <r>
    <n v="100042"/>
    <x v="509"/>
    <s v="AD-6663-C"/>
    <x v="1"/>
    <x v="0"/>
    <x v="3"/>
    <x v="0"/>
    <x v="3"/>
    <n v="26.1"/>
    <n v="20"/>
    <n v="20.88"/>
    <n v="4.25"/>
    <n v="30"/>
    <x v="1"/>
    <x v="2"/>
  </r>
  <r>
    <n v="100167"/>
    <x v="510"/>
    <s v="AD-2298-A"/>
    <x v="9"/>
    <x v="2"/>
    <x v="4"/>
    <x v="1"/>
    <x v="4"/>
    <n v="25.25"/>
    <n v="0"/>
    <n v="101"/>
    <n v="39.130000000000003"/>
    <n v="34"/>
    <x v="1"/>
    <x v="7"/>
  </r>
  <r>
    <n v="100416"/>
    <x v="511"/>
    <s v="AD-8835-D"/>
    <x v="13"/>
    <x v="0"/>
    <x v="1"/>
    <x v="3"/>
    <x v="1"/>
    <n v="126.91"/>
    <n v="20"/>
    <n v="203.06"/>
    <n v="41.1"/>
    <n v="41"/>
    <x v="1"/>
    <x v="2"/>
  </r>
  <r>
    <n v="100576"/>
    <x v="512"/>
    <s v="AD-7837-B"/>
    <x v="12"/>
    <x v="0"/>
    <x v="4"/>
    <x v="0"/>
    <x v="2"/>
    <n v="118.15"/>
    <n v="0"/>
    <n v="354.45"/>
    <n v="102.3"/>
    <n v="42"/>
    <x v="0"/>
    <x v="6"/>
  </r>
  <r>
    <n v="100267"/>
    <x v="266"/>
    <s v="AD-2499-A"/>
    <x v="12"/>
    <x v="0"/>
    <x v="0"/>
    <x v="1"/>
    <x v="2"/>
    <n v="131.52000000000001"/>
    <n v="0"/>
    <n v="394.56"/>
    <n v="117.13"/>
    <n v="22"/>
    <x v="1"/>
    <x v="1"/>
  </r>
  <r>
    <n v="100807"/>
    <x v="323"/>
    <s v="AD-9248-A"/>
    <x v="18"/>
    <x v="1"/>
    <x v="0"/>
    <x v="2"/>
    <x v="4"/>
    <n v="84.54"/>
    <n v="5"/>
    <n v="321.25"/>
    <n v="78.11"/>
    <n v="22"/>
    <x v="1"/>
    <x v="1"/>
  </r>
  <r>
    <n v="100426"/>
    <x v="513"/>
    <s v="AD-6952-D"/>
    <x v="15"/>
    <x v="1"/>
    <x v="2"/>
    <x v="0"/>
    <x v="4"/>
    <n v="155.24"/>
    <n v="0"/>
    <n v="620.96"/>
    <n v="198.84"/>
    <n v="16"/>
    <x v="0"/>
    <x v="5"/>
  </r>
  <r>
    <n v="100690"/>
    <x v="514"/>
    <s v="AD-8412-D"/>
    <x v="9"/>
    <x v="2"/>
    <x v="1"/>
    <x v="0"/>
    <x v="2"/>
    <n v="19.559999999999999"/>
    <n v="0"/>
    <n v="58.68"/>
    <n v="22.62"/>
    <n v="25"/>
    <x v="1"/>
    <x v="1"/>
  </r>
  <r>
    <n v="100544"/>
    <x v="515"/>
    <s v="AD-9572-A"/>
    <x v="8"/>
    <x v="2"/>
    <x v="4"/>
    <x v="0"/>
    <x v="2"/>
    <n v="15.82"/>
    <n v="20"/>
    <n v="37.97"/>
    <n v="17.440000000000001"/>
    <n v="42"/>
    <x v="1"/>
    <x v="1"/>
  </r>
  <r>
    <n v="101122"/>
    <x v="516"/>
    <s v="AD-9097-C"/>
    <x v="19"/>
    <x v="1"/>
    <x v="4"/>
    <x v="0"/>
    <x v="1"/>
    <n v="146.54"/>
    <n v="10"/>
    <n v="263.77"/>
    <n v="71.62"/>
    <n v="33"/>
    <x v="1"/>
    <x v="1"/>
  </r>
  <r>
    <n v="100674"/>
    <x v="517"/>
    <s v="AD-3584-A"/>
    <x v="7"/>
    <x v="1"/>
    <x v="2"/>
    <x v="0"/>
    <x v="2"/>
    <n v="170.01"/>
    <n v="5"/>
    <n v="484.53"/>
    <n v="126.2"/>
    <n v="34"/>
    <x v="1"/>
    <x v="2"/>
  </r>
  <r>
    <n v="100689"/>
    <x v="518"/>
    <s v="AD-7844-A"/>
    <x v="17"/>
    <x v="2"/>
    <x v="2"/>
    <x v="3"/>
    <x v="3"/>
    <n v="39.29"/>
    <n v="20"/>
    <n v="31.43"/>
    <n v="10.53"/>
    <n v="31"/>
    <x v="0"/>
    <x v="7"/>
  </r>
  <r>
    <n v="101054"/>
    <x v="519"/>
    <s v="AD-7458-B"/>
    <x v="9"/>
    <x v="2"/>
    <x v="4"/>
    <x v="0"/>
    <x v="2"/>
    <n v="22.27"/>
    <n v="0"/>
    <n v="66.81"/>
    <n v="23.44"/>
    <n v="40"/>
    <x v="1"/>
    <x v="3"/>
  </r>
  <r>
    <n v="101176"/>
    <x v="234"/>
    <s v="AD-8673-C"/>
    <x v="4"/>
    <x v="2"/>
    <x v="1"/>
    <x v="1"/>
    <x v="2"/>
    <n v="60.35"/>
    <n v="10"/>
    <n v="162.94999999999999"/>
    <n v="64.819999999999993"/>
    <n v="23"/>
    <x v="1"/>
    <x v="4"/>
  </r>
  <r>
    <n v="101032"/>
    <x v="520"/>
    <s v="AD-5317-B"/>
    <x v="4"/>
    <x v="2"/>
    <x v="4"/>
    <x v="1"/>
    <x v="4"/>
    <n v="60.65"/>
    <n v="20"/>
    <n v="194.08"/>
    <n v="73.94"/>
    <n v="34"/>
    <x v="1"/>
    <x v="1"/>
  </r>
  <r>
    <n v="101034"/>
    <x v="521"/>
    <s v="AD-1289-B"/>
    <x v="18"/>
    <x v="1"/>
    <x v="4"/>
    <x v="3"/>
    <x v="1"/>
    <n v="90.12"/>
    <n v="10"/>
    <n v="162.22"/>
    <n v="43.68"/>
    <n v="38"/>
    <x v="0"/>
    <x v="2"/>
  </r>
  <r>
    <n v="100257"/>
    <x v="522"/>
    <s v="AD-6807-C"/>
    <x v="7"/>
    <x v="1"/>
    <x v="4"/>
    <x v="0"/>
    <x v="3"/>
    <n v="126.83"/>
    <n v="10"/>
    <n v="114.15"/>
    <n v="39.17"/>
    <n v="23"/>
    <x v="1"/>
    <x v="0"/>
  </r>
  <r>
    <n v="100335"/>
    <x v="523"/>
    <s v="AD-2226-A"/>
    <x v="11"/>
    <x v="0"/>
    <x v="0"/>
    <x v="1"/>
    <x v="5"/>
    <n v="24.23"/>
    <n v="5"/>
    <n v="138.11000000000001"/>
    <n v="37.799999999999997"/>
    <n v="28"/>
    <x v="1"/>
    <x v="2"/>
  </r>
  <r>
    <n v="100015"/>
    <x v="524"/>
    <s v="AD-9727-B"/>
    <x v="5"/>
    <x v="0"/>
    <x v="3"/>
    <x v="0"/>
    <x v="4"/>
    <n v="68.33"/>
    <n v="0"/>
    <n v="273.32"/>
    <n v="100.77"/>
    <n v="25"/>
    <x v="1"/>
    <x v="1"/>
  </r>
  <r>
    <n v="100901"/>
    <x v="461"/>
    <s v="AD-1872-C"/>
    <x v="19"/>
    <x v="1"/>
    <x v="2"/>
    <x v="0"/>
    <x v="3"/>
    <n v="116.18"/>
    <n v="0"/>
    <n v="116.18"/>
    <n v="34.49"/>
    <n v="31"/>
    <x v="1"/>
    <x v="6"/>
  </r>
  <r>
    <n v="100324"/>
    <x v="337"/>
    <s v="AD-5456-A"/>
    <x v="1"/>
    <x v="0"/>
    <x v="4"/>
    <x v="2"/>
    <x v="3"/>
    <n v="24.62"/>
    <n v="0"/>
    <n v="24.62"/>
    <n v="5.5"/>
    <n v="32"/>
    <x v="1"/>
    <x v="2"/>
  </r>
  <r>
    <n v="100607"/>
    <x v="410"/>
    <s v="AD-8888-B"/>
    <x v="13"/>
    <x v="0"/>
    <x v="1"/>
    <x v="1"/>
    <x v="2"/>
    <n v="129"/>
    <n v="0"/>
    <n v="387"/>
    <n v="112.92"/>
    <n v="23"/>
    <x v="1"/>
    <x v="3"/>
  </r>
  <r>
    <n v="101053"/>
    <x v="525"/>
    <s v="AD-3885-B"/>
    <x v="4"/>
    <x v="2"/>
    <x v="2"/>
    <x v="0"/>
    <x v="4"/>
    <n v="59.53"/>
    <n v="5"/>
    <n v="226.21"/>
    <n v="62.92"/>
    <n v="36"/>
    <x v="1"/>
    <x v="3"/>
  </r>
  <r>
    <n v="100790"/>
    <x v="526"/>
    <s v="AD-8046-C"/>
    <x v="13"/>
    <x v="0"/>
    <x v="4"/>
    <x v="2"/>
    <x v="4"/>
    <n v="137.82"/>
    <n v="10"/>
    <n v="496.15"/>
    <n v="124.58"/>
    <n v="16"/>
    <x v="0"/>
    <x v="4"/>
  </r>
  <r>
    <n v="100222"/>
    <x v="51"/>
    <s v="AD-4159-A"/>
    <x v="8"/>
    <x v="2"/>
    <x v="2"/>
    <x v="0"/>
    <x v="3"/>
    <n v="15.13"/>
    <n v="0"/>
    <n v="15.13"/>
    <n v="4.93"/>
    <n v="28"/>
    <x v="1"/>
    <x v="0"/>
  </r>
  <r>
    <n v="100179"/>
    <x v="527"/>
    <s v="AD-3730-D"/>
    <x v="18"/>
    <x v="1"/>
    <x v="0"/>
    <x v="0"/>
    <x v="2"/>
    <n v="89.31"/>
    <n v="10"/>
    <n v="241.14"/>
    <n v="71.790000000000006"/>
    <n v="31"/>
    <x v="0"/>
    <x v="2"/>
  </r>
  <r>
    <n v="100099"/>
    <x v="528"/>
    <s v="AD-6546-D"/>
    <x v="14"/>
    <x v="1"/>
    <x v="0"/>
    <x v="0"/>
    <x v="1"/>
    <n v="212.72"/>
    <n v="5"/>
    <n v="404.17"/>
    <n v="70.67"/>
    <n v="35"/>
    <x v="1"/>
    <x v="0"/>
  </r>
  <r>
    <n v="100521"/>
    <x v="529"/>
    <s v="AD-8801-D"/>
    <x v="10"/>
    <x v="2"/>
    <x v="4"/>
    <x v="1"/>
    <x v="2"/>
    <n v="42.91"/>
    <n v="0"/>
    <n v="128.72999999999999"/>
    <n v="47.84"/>
    <n v="25"/>
    <x v="0"/>
    <x v="4"/>
  </r>
  <r>
    <n v="100022"/>
    <x v="530"/>
    <s v="AD-7912-B"/>
    <x v="13"/>
    <x v="0"/>
    <x v="4"/>
    <x v="0"/>
    <x v="1"/>
    <n v="118.15"/>
    <n v="0"/>
    <n v="236.3"/>
    <n v="70.44"/>
    <n v="39"/>
    <x v="1"/>
    <x v="3"/>
  </r>
  <r>
    <n v="100356"/>
    <x v="272"/>
    <s v="AD-3854-C"/>
    <x v="7"/>
    <x v="1"/>
    <x v="1"/>
    <x v="1"/>
    <x v="1"/>
    <n v="166.99"/>
    <n v="0"/>
    <n v="333.98"/>
    <n v="100.3"/>
    <n v="29"/>
    <x v="1"/>
    <x v="4"/>
  </r>
  <r>
    <n v="100733"/>
    <x v="531"/>
    <s v="AD-9664-B"/>
    <x v="10"/>
    <x v="2"/>
    <x v="0"/>
    <x v="1"/>
    <x v="1"/>
    <n v="44.47"/>
    <n v="0"/>
    <n v="88.94"/>
    <n v="34.04"/>
    <n v="20"/>
    <x v="1"/>
    <x v="7"/>
  </r>
  <r>
    <n v="101093"/>
    <x v="96"/>
    <s v="AD-5306-A"/>
    <x v="10"/>
    <x v="2"/>
    <x v="3"/>
    <x v="0"/>
    <x v="3"/>
    <n v="47.95"/>
    <n v="0"/>
    <n v="47.95"/>
    <n v="18.079999999999998"/>
    <n v="44"/>
    <x v="0"/>
    <x v="5"/>
  </r>
  <r>
    <n v="101111"/>
    <x v="532"/>
    <s v="AD-4204-D"/>
    <x v="0"/>
    <x v="0"/>
    <x v="4"/>
    <x v="1"/>
    <x v="2"/>
    <n v="50.32"/>
    <n v="0"/>
    <n v="150.96"/>
    <n v="48.36"/>
    <n v="31"/>
    <x v="0"/>
    <x v="1"/>
  </r>
  <r>
    <n v="100611"/>
    <x v="452"/>
    <s v="AD-4893-C"/>
    <x v="0"/>
    <x v="0"/>
    <x v="1"/>
    <x v="0"/>
    <x v="2"/>
    <n v="60.16"/>
    <n v="0"/>
    <n v="180.48"/>
    <n v="42.3"/>
    <n v="32"/>
    <x v="1"/>
    <x v="5"/>
  </r>
  <r>
    <n v="101009"/>
    <x v="533"/>
    <s v="AD-5483-A"/>
    <x v="13"/>
    <x v="0"/>
    <x v="1"/>
    <x v="0"/>
    <x v="1"/>
    <n v="99.09"/>
    <n v="0"/>
    <n v="198.18"/>
    <n v="56.71"/>
    <n v="31"/>
    <x v="1"/>
    <x v="6"/>
  </r>
  <r>
    <n v="100340"/>
    <x v="534"/>
    <s v="AD-5262-B"/>
    <x v="2"/>
    <x v="1"/>
    <x v="3"/>
    <x v="0"/>
    <x v="3"/>
    <n v="96.62"/>
    <n v="0"/>
    <n v="96.62"/>
    <n v="25.35"/>
    <n v="30"/>
    <x v="1"/>
    <x v="0"/>
  </r>
  <r>
    <n v="100431"/>
    <x v="238"/>
    <s v="AD-9328-B"/>
    <x v="9"/>
    <x v="2"/>
    <x v="0"/>
    <x v="1"/>
    <x v="2"/>
    <n v="20.27"/>
    <n v="10"/>
    <n v="54.73"/>
    <n v="23.65"/>
    <n v="16"/>
    <x v="1"/>
    <x v="5"/>
  </r>
  <r>
    <n v="100961"/>
    <x v="22"/>
    <s v="AD-2456-A"/>
    <x v="0"/>
    <x v="0"/>
    <x v="1"/>
    <x v="2"/>
    <x v="3"/>
    <n v="54.94"/>
    <n v="0"/>
    <n v="54.94"/>
    <n v="17.32"/>
    <n v="35"/>
    <x v="0"/>
    <x v="2"/>
  </r>
  <r>
    <n v="100217"/>
    <x v="331"/>
    <s v="AD-4814-A"/>
    <x v="19"/>
    <x v="1"/>
    <x v="4"/>
    <x v="0"/>
    <x v="1"/>
    <n v="130.16"/>
    <n v="0"/>
    <n v="260.32"/>
    <n v="98.85"/>
    <n v="23"/>
    <x v="0"/>
    <x v="6"/>
  </r>
  <r>
    <n v="100203"/>
    <x v="535"/>
    <s v="AD-3108-A"/>
    <x v="12"/>
    <x v="0"/>
    <x v="0"/>
    <x v="0"/>
    <x v="2"/>
    <n v="143.88"/>
    <n v="0"/>
    <n v="431.64"/>
    <n v="66.599999999999994"/>
    <n v="32"/>
    <x v="2"/>
    <x v="1"/>
  </r>
  <r>
    <n v="100905"/>
    <x v="175"/>
    <s v="AD-3575-C"/>
    <x v="16"/>
    <x v="1"/>
    <x v="4"/>
    <x v="0"/>
    <x v="1"/>
    <n v="33.17"/>
    <n v="5"/>
    <n v="63.02"/>
    <n v="21.07"/>
    <n v="28"/>
    <x v="1"/>
    <x v="2"/>
  </r>
  <r>
    <n v="100922"/>
    <x v="154"/>
    <s v="AD-8302-A"/>
    <x v="16"/>
    <x v="1"/>
    <x v="0"/>
    <x v="0"/>
    <x v="4"/>
    <n v="38.78"/>
    <n v="0"/>
    <n v="155.12"/>
    <n v="56.56"/>
    <n v="43"/>
    <x v="1"/>
    <x v="3"/>
  </r>
  <r>
    <n v="100093"/>
    <x v="485"/>
    <s v="AD-9337-C"/>
    <x v="18"/>
    <x v="1"/>
    <x v="4"/>
    <x v="2"/>
    <x v="1"/>
    <n v="68.290000000000006"/>
    <n v="5"/>
    <n v="129.75"/>
    <n v="37.71"/>
    <n v="29"/>
    <x v="1"/>
    <x v="0"/>
  </r>
  <r>
    <n v="100910"/>
    <x v="536"/>
    <s v="AD-3258-C"/>
    <x v="13"/>
    <x v="0"/>
    <x v="0"/>
    <x v="1"/>
    <x v="4"/>
    <n v="106.89"/>
    <n v="40"/>
    <n v="256.54000000000002"/>
    <n v="60.89"/>
    <n v="25"/>
    <x v="0"/>
    <x v="6"/>
  </r>
  <r>
    <n v="100068"/>
    <x v="537"/>
    <s v="AD-5569-D"/>
    <x v="4"/>
    <x v="2"/>
    <x v="0"/>
    <x v="0"/>
    <x v="1"/>
    <n v="62.36"/>
    <n v="0"/>
    <n v="124.72"/>
    <n v="41.93"/>
    <n v="27"/>
    <x v="1"/>
    <x v="1"/>
  </r>
  <r>
    <n v="100894"/>
    <x v="483"/>
    <s v="AD-4363-D"/>
    <x v="19"/>
    <x v="1"/>
    <x v="1"/>
    <x v="1"/>
    <x v="4"/>
    <n v="118.61"/>
    <n v="20"/>
    <n v="379.55"/>
    <n v="53.58"/>
    <n v="52"/>
    <x v="0"/>
    <x v="2"/>
  </r>
  <r>
    <n v="100284"/>
    <x v="538"/>
    <s v="AD-6225-A"/>
    <x v="16"/>
    <x v="1"/>
    <x v="1"/>
    <x v="0"/>
    <x v="4"/>
    <n v="33.42"/>
    <n v="0"/>
    <n v="133.68"/>
    <n v="41.34"/>
    <n v="38"/>
    <x v="0"/>
    <x v="5"/>
  </r>
  <r>
    <n v="100696"/>
    <x v="539"/>
    <s v="AD-3267-C"/>
    <x v="15"/>
    <x v="1"/>
    <x v="4"/>
    <x v="1"/>
    <x v="0"/>
    <n v="160.76"/>
    <n v="5"/>
    <n v="763.61"/>
    <n v="165.24"/>
    <n v="27"/>
    <x v="1"/>
    <x v="6"/>
  </r>
  <r>
    <n v="100085"/>
    <x v="25"/>
    <s v="AD-6280-C"/>
    <x v="1"/>
    <x v="0"/>
    <x v="1"/>
    <x v="0"/>
    <x v="3"/>
    <n v="24.85"/>
    <n v="0"/>
    <n v="24.85"/>
    <n v="7.5"/>
    <n v="22"/>
    <x v="1"/>
    <x v="2"/>
  </r>
  <r>
    <n v="100434"/>
    <x v="310"/>
    <s v="AD-4560-B"/>
    <x v="4"/>
    <x v="2"/>
    <x v="2"/>
    <x v="1"/>
    <x v="1"/>
    <n v="65.05"/>
    <n v="0"/>
    <n v="130.1"/>
    <n v="33.840000000000003"/>
    <n v="45"/>
    <x v="0"/>
    <x v="4"/>
  </r>
  <r>
    <n v="100796"/>
    <x v="441"/>
    <s v="AD-2998-D"/>
    <x v="2"/>
    <x v="1"/>
    <x v="1"/>
    <x v="0"/>
    <x v="2"/>
    <n v="98.75"/>
    <n v="20"/>
    <n v="237"/>
    <n v="70.42"/>
    <n v="38"/>
    <x v="1"/>
    <x v="0"/>
  </r>
  <r>
    <n v="100153"/>
    <x v="308"/>
    <s v="AD-2079-C"/>
    <x v="4"/>
    <x v="2"/>
    <x v="0"/>
    <x v="0"/>
    <x v="0"/>
    <n v="50.74"/>
    <n v="0"/>
    <n v="253.7"/>
    <n v="85.18"/>
    <n v="38"/>
    <x v="0"/>
    <x v="4"/>
  </r>
  <r>
    <n v="100075"/>
    <x v="76"/>
    <s v="AD-5494-A"/>
    <x v="16"/>
    <x v="1"/>
    <x v="1"/>
    <x v="0"/>
    <x v="2"/>
    <n v="40.130000000000003"/>
    <n v="5"/>
    <n v="114.37"/>
    <n v="33.89"/>
    <n v="27"/>
    <x v="0"/>
    <x v="3"/>
  </r>
  <r>
    <n v="101042"/>
    <x v="380"/>
    <s v="AD-6996-D"/>
    <x v="14"/>
    <x v="1"/>
    <x v="0"/>
    <x v="0"/>
    <x v="3"/>
    <n v="224.81"/>
    <n v="20"/>
    <n v="179.85"/>
    <n v="44.98"/>
    <n v="20"/>
    <x v="0"/>
    <x v="4"/>
  </r>
  <r>
    <n v="100580"/>
    <x v="350"/>
    <s v="AD-5970-D"/>
    <x v="14"/>
    <x v="1"/>
    <x v="0"/>
    <x v="2"/>
    <x v="1"/>
    <n v="246.33"/>
    <n v="0"/>
    <n v="492.66"/>
    <n v="136.07"/>
    <n v="23"/>
    <x v="1"/>
    <x v="2"/>
  </r>
  <r>
    <n v="100446"/>
    <x v="540"/>
    <s v="AD-9691-D"/>
    <x v="11"/>
    <x v="0"/>
    <x v="4"/>
    <x v="0"/>
    <x v="1"/>
    <n v="29.29"/>
    <n v="20"/>
    <n v="46.86"/>
    <n v="11.64"/>
    <n v="19"/>
    <x v="1"/>
    <x v="6"/>
  </r>
  <r>
    <n v="100703"/>
    <x v="85"/>
    <s v="AD-8503-C"/>
    <x v="17"/>
    <x v="2"/>
    <x v="0"/>
    <x v="0"/>
    <x v="4"/>
    <n v="38.35"/>
    <n v="5"/>
    <n v="145.72999999999999"/>
    <n v="37.24"/>
    <n v="23"/>
    <x v="0"/>
    <x v="5"/>
  </r>
  <r>
    <n v="100188"/>
    <x v="328"/>
    <s v="AD-8657-B"/>
    <x v="16"/>
    <x v="1"/>
    <x v="4"/>
    <x v="1"/>
    <x v="3"/>
    <n v="36.47"/>
    <n v="0"/>
    <n v="36.47"/>
    <n v="14.19"/>
    <n v="31"/>
    <x v="1"/>
    <x v="4"/>
  </r>
  <r>
    <n v="100271"/>
    <x v="251"/>
    <s v="AD-8121-C"/>
    <x v="12"/>
    <x v="0"/>
    <x v="4"/>
    <x v="0"/>
    <x v="4"/>
    <n v="136.9"/>
    <n v="20"/>
    <n v="438.08"/>
    <n v="118.27"/>
    <n v="32"/>
    <x v="1"/>
    <x v="3"/>
  </r>
  <r>
    <n v="100236"/>
    <x v="29"/>
    <s v="AD-5888-D"/>
    <x v="8"/>
    <x v="2"/>
    <x v="4"/>
    <x v="3"/>
    <x v="3"/>
    <n v="13.05"/>
    <n v="5"/>
    <n v="12.4"/>
    <n v="4.58"/>
    <n v="25"/>
    <x v="0"/>
    <x v="7"/>
  </r>
  <r>
    <n v="100487"/>
    <x v="541"/>
    <s v="AD-4764-D"/>
    <x v="11"/>
    <x v="0"/>
    <x v="1"/>
    <x v="0"/>
    <x v="2"/>
    <n v="30.51"/>
    <n v="0"/>
    <n v="91.53"/>
    <n v="19.71"/>
    <n v="24"/>
    <x v="0"/>
    <x v="1"/>
  </r>
  <r>
    <n v="101159"/>
    <x v="542"/>
    <s v="AD-1341-B"/>
    <x v="13"/>
    <x v="0"/>
    <x v="4"/>
    <x v="0"/>
    <x v="4"/>
    <n v="128.41999999999999"/>
    <n v="0"/>
    <n v="513.67999999999995"/>
    <n v="141.94999999999999"/>
    <n v="24"/>
    <x v="1"/>
    <x v="4"/>
  </r>
  <r>
    <n v="100559"/>
    <x v="480"/>
    <s v="AD-1886-C"/>
    <x v="5"/>
    <x v="0"/>
    <x v="2"/>
    <x v="3"/>
    <x v="3"/>
    <n v="81.650000000000006"/>
    <n v="0"/>
    <n v="81.650000000000006"/>
    <n v="24.12"/>
    <n v="20"/>
    <x v="0"/>
    <x v="2"/>
  </r>
  <r>
    <n v="100117"/>
    <x v="543"/>
    <s v="AD-3531-D"/>
    <x v="8"/>
    <x v="2"/>
    <x v="1"/>
    <x v="1"/>
    <x v="2"/>
    <n v="16.8"/>
    <n v="10"/>
    <n v="45.36"/>
    <n v="15.54"/>
    <n v="51"/>
    <x v="0"/>
    <x v="2"/>
  </r>
  <r>
    <n v="100637"/>
    <x v="134"/>
    <s v="AD-3945-D"/>
    <x v="14"/>
    <x v="1"/>
    <x v="1"/>
    <x v="1"/>
    <x v="3"/>
    <n v="205.68"/>
    <n v="0"/>
    <n v="205.68"/>
    <n v="66.19"/>
    <n v="16"/>
    <x v="0"/>
    <x v="2"/>
  </r>
  <r>
    <n v="101127"/>
    <x v="448"/>
    <s v="AD-5384-C"/>
    <x v="16"/>
    <x v="1"/>
    <x v="4"/>
    <x v="0"/>
    <x v="5"/>
    <n v="40.479999999999997"/>
    <n v="10"/>
    <n v="218.59"/>
    <n v="47.7"/>
    <n v="37"/>
    <x v="0"/>
    <x v="3"/>
  </r>
  <r>
    <n v="100750"/>
    <x v="527"/>
    <s v="AD-6591-D"/>
    <x v="15"/>
    <x v="1"/>
    <x v="4"/>
    <x v="2"/>
    <x v="3"/>
    <n v="168.9"/>
    <n v="10"/>
    <n v="152.01"/>
    <n v="45.82"/>
    <n v="22"/>
    <x v="1"/>
    <x v="7"/>
  </r>
  <r>
    <n v="100512"/>
    <x v="350"/>
    <s v="AD-6638-A"/>
    <x v="18"/>
    <x v="1"/>
    <x v="1"/>
    <x v="0"/>
    <x v="3"/>
    <n v="82.72"/>
    <n v="5"/>
    <n v="78.58"/>
    <n v="24.92"/>
    <n v="34"/>
    <x v="0"/>
    <x v="0"/>
  </r>
  <r>
    <n v="100633"/>
    <x v="223"/>
    <s v="AD-2797-C"/>
    <x v="11"/>
    <x v="0"/>
    <x v="3"/>
    <x v="0"/>
    <x v="1"/>
    <n v="30.33"/>
    <n v="0"/>
    <n v="60.66"/>
    <n v="16.72"/>
    <n v="29"/>
    <x v="0"/>
    <x v="4"/>
  </r>
  <r>
    <n v="100785"/>
    <x v="58"/>
    <s v="AD-4476-D"/>
    <x v="3"/>
    <x v="2"/>
    <x v="1"/>
    <x v="2"/>
    <x v="4"/>
    <n v="18.260000000000002"/>
    <n v="10"/>
    <n v="65.739999999999995"/>
    <n v="14.12"/>
    <n v="34"/>
    <x v="0"/>
    <x v="2"/>
  </r>
  <r>
    <n v="101006"/>
    <x v="432"/>
    <s v="AD-2156-C"/>
    <x v="3"/>
    <x v="2"/>
    <x v="4"/>
    <x v="0"/>
    <x v="0"/>
    <n v="18.62"/>
    <n v="10"/>
    <n v="83.79"/>
    <n v="31.99"/>
    <n v="25"/>
    <x v="0"/>
    <x v="6"/>
  </r>
  <r>
    <n v="100852"/>
    <x v="74"/>
    <s v="AD-2450-B"/>
    <x v="12"/>
    <x v="0"/>
    <x v="4"/>
    <x v="1"/>
    <x v="1"/>
    <n v="144.15"/>
    <n v="5"/>
    <n v="273.88"/>
    <n v="86.29"/>
    <n v="33"/>
    <x v="1"/>
    <x v="0"/>
  </r>
  <r>
    <n v="100126"/>
    <x v="428"/>
    <s v="AD-2204-A"/>
    <x v="9"/>
    <x v="2"/>
    <x v="1"/>
    <x v="0"/>
    <x v="4"/>
    <n v="20.75"/>
    <n v="0"/>
    <n v="83"/>
    <n v="28.01"/>
    <n v="39"/>
    <x v="0"/>
    <x v="5"/>
  </r>
  <r>
    <n v="100116"/>
    <x v="544"/>
    <s v="AD-2902-A"/>
    <x v="0"/>
    <x v="0"/>
    <x v="4"/>
    <x v="0"/>
    <x v="2"/>
    <n v="61.1"/>
    <n v="0"/>
    <n v="183.3"/>
    <n v="62.42"/>
    <n v="16"/>
    <x v="1"/>
    <x v="5"/>
  </r>
  <r>
    <n v="100473"/>
    <x v="366"/>
    <s v="AD-4773-D"/>
    <x v="2"/>
    <x v="1"/>
    <x v="4"/>
    <x v="0"/>
    <x v="5"/>
    <n v="101.44"/>
    <n v="0"/>
    <n v="608.64"/>
    <n v="152.53"/>
    <n v="34"/>
    <x v="1"/>
    <x v="1"/>
  </r>
  <r>
    <n v="100740"/>
    <x v="545"/>
    <s v="AD-2060-C"/>
    <x v="12"/>
    <x v="0"/>
    <x v="3"/>
    <x v="1"/>
    <x v="3"/>
    <n v="121.08"/>
    <n v="0"/>
    <n v="121.08"/>
    <n v="35.31"/>
    <n v="25"/>
    <x v="0"/>
    <x v="3"/>
  </r>
  <r>
    <n v="100992"/>
    <x v="546"/>
    <s v="AD-7169-D"/>
    <x v="6"/>
    <x v="1"/>
    <x v="2"/>
    <x v="0"/>
    <x v="1"/>
    <n v="184.09"/>
    <n v="5"/>
    <n v="349.77"/>
    <n v="109.44"/>
    <n v="17"/>
    <x v="0"/>
    <x v="3"/>
  </r>
  <r>
    <n v="100057"/>
    <x v="547"/>
    <s v="AD-8999-B"/>
    <x v="11"/>
    <x v="0"/>
    <x v="1"/>
    <x v="2"/>
    <x v="4"/>
    <n v="31.46"/>
    <n v="5"/>
    <n v="119.55"/>
    <n v="37.4"/>
    <n v="28"/>
    <x v="0"/>
    <x v="6"/>
  </r>
  <r>
    <n v="100603"/>
    <x v="210"/>
    <s v="AD-1392-D"/>
    <x v="7"/>
    <x v="1"/>
    <x v="4"/>
    <x v="0"/>
    <x v="2"/>
    <n v="169.7"/>
    <n v="0"/>
    <n v="509.1"/>
    <n v="180.04"/>
    <n v="32"/>
    <x v="1"/>
    <x v="1"/>
  </r>
  <r>
    <n v="100786"/>
    <x v="548"/>
    <s v="AD-4847-D"/>
    <x v="4"/>
    <x v="2"/>
    <x v="4"/>
    <x v="0"/>
    <x v="1"/>
    <n v="56.76"/>
    <n v="0"/>
    <n v="113.52"/>
    <n v="24.97"/>
    <n v="23"/>
    <x v="1"/>
    <x v="4"/>
  </r>
  <r>
    <n v="100970"/>
    <x v="549"/>
    <s v="AD-7583-B"/>
    <x v="19"/>
    <x v="1"/>
    <x v="1"/>
    <x v="0"/>
    <x v="1"/>
    <n v="116.46"/>
    <n v="10"/>
    <n v="209.63"/>
    <n v="43.47"/>
    <n v="31"/>
    <x v="1"/>
    <x v="5"/>
  </r>
  <r>
    <n v="100656"/>
    <x v="293"/>
    <s v="AD-5528-D"/>
    <x v="18"/>
    <x v="1"/>
    <x v="4"/>
    <x v="1"/>
    <x v="0"/>
    <n v="80.94"/>
    <n v="0"/>
    <n v="404.7"/>
    <n v="143.22"/>
    <n v="23"/>
    <x v="0"/>
    <x v="5"/>
  </r>
  <r>
    <n v="100902"/>
    <x v="550"/>
    <s v="AD-8711-A"/>
    <x v="14"/>
    <x v="1"/>
    <x v="3"/>
    <x v="2"/>
    <x v="2"/>
    <n v="221.49"/>
    <n v="0"/>
    <n v="664.47"/>
    <n v="225.85"/>
    <n v="26"/>
    <x v="1"/>
    <x v="1"/>
  </r>
  <r>
    <n v="100921"/>
    <x v="551"/>
    <s v="AD-3601-C"/>
    <x v="16"/>
    <x v="1"/>
    <x v="4"/>
    <x v="0"/>
    <x v="2"/>
    <n v="29.79"/>
    <n v="10"/>
    <n v="80.430000000000007"/>
    <n v="28.4"/>
    <n v="26"/>
    <x v="0"/>
    <x v="5"/>
  </r>
  <r>
    <n v="100105"/>
    <x v="27"/>
    <s v="AD-8237-C"/>
    <x v="6"/>
    <x v="1"/>
    <x v="1"/>
    <x v="0"/>
    <x v="2"/>
    <n v="171.69"/>
    <n v="0"/>
    <n v="515.07000000000005"/>
    <n v="135.88999999999999"/>
    <n v="49"/>
    <x v="1"/>
    <x v="1"/>
  </r>
  <r>
    <n v="100635"/>
    <x v="306"/>
    <s v="AD-7835-B"/>
    <x v="8"/>
    <x v="2"/>
    <x v="4"/>
    <x v="0"/>
    <x v="3"/>
    <n v="15.38"/>
    <n v="20"/>
    <n v="12.3"/>
    <n v="6.01"/>
    <n v="26"/>
    <x v="0"/>
    <x v="4"/>
  </r>
  <r>
    <n v="100369"/>
    <x v="552"/>
    <s v="AD-5315-B"/>
    <x v="11"/>
    <x v="0"/>
    <x v="1"/>
    <x v="0"/>
    <x v="0"/>
    <n v="30.69"/>
    <n v="0"/>
    <n v="153.44999999999999"/>
    <n v="53.7"/>
    <n v="28"/>
    <x v="1"/>
    <x v="5"/>
  </r>
  <r>
    <n v="100268"/>
    <x v="25"/>
    <s v="AD-8353-D"/>
    <x v="0"/>
    <x v="0"/>
    <x v="0"/>
    <x v="0"/>
    <x v="1"/>
    <n v="57.82"/>
    <n v="5"/>
    <n v="109.86"/>
    <n v="38.83"/>
    <n v="41"/>
    <x v="1"/>
    <x v="2"/>
  </r>
  <r>
    <n v="100655"/>
    <x v="185"/>
    <s v="AD-7159-B"/>
    <x v="19"/>
    <x v="1"/>
    <x v="0"/>
    <x v="0"/>
    <x v="5"/>
    <n v="116.35"/>
    <n v="0"/>
    <n v="698.1"/>
    <n v="156.12"/>
    <n v="16"/>
    <x v="0"/>
    <x v="3"/>
  </r>
  <r>
    <n v="100046"/>
    <x v="467"/>
    <s v="AD-5930-D"/>
    <x v="0"/>
    <x v="0"/>
    <x v="4"/>
    <x v="1"/>
    <x v="4"/>
    <n v="62.77"/>
    <n v="0"/>
    <n v="251.08"/>
    <n v="76.400000000000006"/>
    <n v="46"/>
    <x v="1"/>
    <x v="3"/>
  </r>
  <r>
    <n v="100349"/>
    <x v="553"/>
    <s v="AD-3615-A"/>
    <x v="1"/>
    <x v="0"/>
    <x v="3"/>
    <x v="1"/>
    <x v="0"/>
    <n v="26.47"/>
    <n v="10"/>
    <n v="119.11"/>
    <n v="24.82"/>
    <n v="37"/>
    <x v="0"/>
    <x v="6"/>
  </r>
  <r>
    <n v="100773"/>
    <x v="554"/>
    <s v="AD-7656-A"/>
    <x v="5"/>
    <x v="0"/>
    <x v="2"/>
    <x v="0"/>
    <x v="2"/>
    <n v="70.010000000000005"/>
    <n v="5"/>
    <n v="199.53"/>
    <n v="57.71"/>
    <n v="29"/>
    <x v="1"/>
    <x v="4"/>
  </r>
  <r>
    <n v="100195"/>
    <x v="458"/>
    <s v="AD-5873-D"/>
    <x v="8"/>
    <x v="2"/>
    <x v="3"/>
    <x v="1"/>
    <x v="2"/>
    <n v="15.14"/>
    <n v="5"/>
    <n v="43.15"/>
    <n v="17.54"/>
    <n v="29"/>
    <x v="0"/>
    <x v="2"/>
  </r>
  <r>
    <n v="100102"/>
    <x v="555"/>
    <s v="AD-5806-C"/>
    <x v="18"/>
    <x v="1"/>
    <x v="0"/>
    <x v="2"/>
    <x v="1"/>
    <n v="79.81"/>
    <n v="5"/>
    <n v="151.63999999999999"/>
    <n v="31.81"/>
    <n v="32"/>
    <x v="1"/>
    <x v="7"/>
  </r>
  <r>
    <n v="100004"/>
    <x v="556"/>
    <s v="AD-4150-A"/>
    <x v="18"/>
    <x v="1"/>
    <x v="1"/>
    <x v="1"/>
    <x v="1"/>
    <n v="85.46"/>
    <n v="0"/>
    <n v="170.92"/>
    <n v="39.1"/>
    <n v="20"/>
    <x v="0"/>
    <x v="4"/>
  </r>
  <r>
    <n v="100619"/>
    <x v="333"/>
    <s v="AD-1831-B"/>
    <x v="0"/>
    <x v="0"/>
    <x v="4"/>
    <x v="0"/>
    <x v="2"/>
    <n v="47.35"/>
    <n v="0"/>
    <n v="142.05000000000001"/>
    <n v="39.31"/>
    <n v="22"/>
    <x v="0"/>
    <x v="5"/>
  </r>
  <r>
    <n v="100990"/>
    <x v="523"/>
    <s v="AD-5981-D"/>
    <x v="8"/>
    <x v="2"/>
    <x v="4"/>
    <x v="1"/>
    <x v="1"/>
    <n v="16.89"/>
    <n v="5"/>
    <n v="32.090000000000003"/>
    <n v="11.62"/>
    <n v="40"/>
    <x v="0"/>
    <x v="7"/>
  </r>
  <r>
    <n v="100052"/>
    <x v="557"/>
    <s v="AD-8251-D"/>
    <x v="8"/>
    <x v="2"/>
    <x v="2"/>
    <x v="1"/>
    <x v="4"/>
    <n v="15.78"/>
    <n v="20"/>
    <n v="50.5"/>
    <n v="17.11"/>
    <n v="35"/>
    <x v="0"/>
    <x v="4"/>
  </r>
  <r>
    <n v="100263"/>
    <x v="217"/>
    <s v="AD-3292-A"/>
    <x v="5"/>
    <x v="0"/>
    <x v="2"/>
    <x v="1"/>
    <x v="4"/>
    <n v="70.349999999999994"/>
    <n v="0"/>
    <n v="281.39999999999998"/>
    <n v="82.79"/>
    <n v="26"/>
    <x v="1"/>
    <x v="2"/>
  </r>
  <r>
    <n v="101092"/>
    <x v="558"/>
    <s v="AD-3113-D"/>
    <x v="18"/>
    <x v="1"/>
    <x v="1"/>
    <x v="0"/>
    <x v="3"/>
    <n v="73"/>
    <n v="0"/>
    <n v="73"/>
    <n v="22.96"/>
    <n v="21"/>
    <x v="1"/>
    <x v="2"/>
  </r>
  <r>
    <n v="100443"/>
    <x v="559"/>
    <s v="AD-1092-C"/>
    <x v="15"/>
    <x v="1"/>
    <x v="0"/>
    <x v="0"/>
    <x v="2"/>
    <n v="131.82"/>
    <n v="5"/>
    <n v="375.69"/>
    <n v="102.64"/>
    <n v="16"/>
    <x v="0"/>
    <x v="0"/>
  </r>
  <r>
    <n v="100971"/>
    <x v="60"/>
    <s v="AD-7036-D"/>
    <x v="19"/>
    <x v="1"/>
    <x v="1"/>
    <x v="3"/>
    <x v="2"/>
    <n v="125.36"/>
    <n v="10"/>
    <n v="338.47"/>
    <n v="118.32"/>
    <n v="31"/>
    <x v="0"/>
    <x v="6"/>
  </r>
  <r>
    <n v="100782"/>
    <x v="560"/>
    <s v="AD-4677-B"/>
    <x v="10"/>
    <x v="2"/>
    <x v="2"/>
    <x v="1"/>
    <x v="3"/>
    <n v="41.95"/>
    <n v="5"/>
    <n v="39.85"/>
    <n v="11.52"/>
    <n v="29"/>
    <x v="0"/>
    <x v="1"/>
  </r>
  <r>
    <n v="100846"/>
    <x v="561"/>
    <s v="AD-7694-A"/>
    <x v="16"/>
    <x v="1"/>
    <x v="4"/>
    <x v="0"/>
    <x v="1"/>
    <n v="32.4"/>
    <n v="5"/>
    <n v="61.56"/>
    <n v="16.649999999999999"/>
    <n v="40"/>
    <x v="0"/>
    <x v="1"/>
  </r>
  <r>
    <n v="100691"/>
    <x v="562"/>
    <s v="AD-6872-C"/>
    <x v="2"/>
    <x v="1"/>
    <x v="4"/>
    <x v="1"/>
    <x v="1"/>
    <n v="105.28"/>
    <n v="0"/>
    <n v="210.56"/>
    <n v="67.63"/>
    <n v="30"/>
    <x v="0"/>
    <x v="3"/>
  </r>
  <r>
    <n v="100304"/>
    <x v="185"/>
    <s v="AD-6869-A"/>
    <x v="9"/>
    <x v="2"/>
    <x v="4"/>
    <x v="1"/>
    <x v="2"/>
    <n v="20.86"/>
    <n v="5"/>
    <n v="59.45"/>
    <n v="19.37"/>
    <n v="26"/>
    <x v="0"/>
    <x v="5"/>
  </r>
  <r>
    <n v="100341"/>
    <x v="563"/>
    <s v="AD-3290-A"/>
    <x v="12"/>
    <x v="0"/>
    <x v="0"/>
    <x v="1"/>
    <x v="0"/>
    <n v="115.78"/>
    <n v="0"/>
    <n v="578.9"/>
    <n v="137.49"/>
    <n v="17"/>
    <x v="1"/>
    <x v="1"/>
  </r>
  <r>
    <n v="100866"/>
    <x v="564"/>
    <s v="AD-5578-D"/>
    <x v="8"/>
    <x v="2"/>
    <x v="1"/>
    <x v="0"/>
    <x v="2"/>
    <n v="14.71"/>
    <n v="0"/>
    <n v="44.13"/>
    <n v="14.59"/>
    <n v="22"/>
    <x v="1"/>
    <x v="3"/>
  </r>
  <r>
    <n v="100313"/>
    <x v="565"/>
    <s v="AD-7745-D"/>
    <x v="17"/>
    <x v="2"/>
    <x v="0"/>
    <x v="0"/>
    <x v="1"/>
    <n v="43.15"/>
    <n v="10"/>
    <n v="77.67"/>
    <n v="32.090000000000003"/>
    <n v="50"/>
    <x v="0"/>
    <x v="3"/>
  </r>
  <r>
    <n v="100149"/>
    <x v="566"/>
    <s v="AD-9307-D"/>
    <x v="3"/>
    <x v="2"/>
    <x v="4"/>
    <x v="2"/>
    <x v="1"/>
    <n v="18.3"/>
    <n v="5"/>
    <n v="34.770000000000003"/>
    <n v="8.84"/>
    <n v="38"/>
    <x v="1"/>
    <x v="1"/>
  </r>
  <r>
    <n v="100124"/>
    <x v="567"/>
    <s v="AD-8344-C"/>
    <x v="1"/>
    <x v="0"/>
    <x v="0"/>
    <x v="1"/>
    <x v="3"/>
    <n v="30.15"/>
    <n v="10"/>
    <n v="27.13"/>
    <n v="7.69"/>
    <n v="23"/>
    <x v="0"/>
    <x v="5"/>
  </r>
  <r>
    <n v="101062"/>
    <x v="186"/>
    <s v="AD-2939-C"/>
    <x v="18"/>
    <x v="1"/>
    <x v="3"/>
    <x v="0"/>
    <x v="0"/>
    <n v="77.63"/>
    <n v="20"/>
    <n v="310.52"/>
    <n v="95.06"/>
    <n v="21"/>
    <x v="1"/>
    <x v="4"/>
  </r>
  <r>
    <n v="100574"/>
    <x v="568"/>
    <s v="AD-2015-C"/>
    <x v="7"/>
    <x v="1"/>
    <x v="0"/>
    <x v="0"/>
    <x v="1"/>
    <n v="169.92"/>
    <n v="10"/>
    <n v="305.86"/>
    <n v="100.22"/>
    <n v="39"/>
    <x v="1"/>
    <x v="0"/>
  </r>
  <r>
    <n v="100697"/>
    <x v="31"/>
    <s v="AD-4693-C"/>
    <x v="8"/>
    <x v="2"/>
    <x v="1"/>
    <x v="3"/>
    <x v="1"/>
    <n v="13.38"/>
    <n v="10"/>
    <n v="24.08"/>
    <n v="6.74"/>
    <n v="34"/>
    <x v="0"/>
    <x v="6"/>
  </r>
  <r>
    <n v="100664"/>
    <x v="15"/>
    <s v="AD-4327-B"/>
    <x v="2"/>
    <x v="1"/>
    <x v="2"/>
    <x v="0"/>
    <x v="3"/>
    <n v="102.55"/>
    <n v="5"/>
    <n v="97.42"/>
    <n v="24.8"/>
    <n v="35"/>
    <x v="0"/>
    <x v="0"/>
  </r>
  <r>
    <n v="100050"/>
    <x v="538"/>
    <s v="AD-4997-B"/>
    <x v="4"/>
    <x v="2"/>
    <x v="0"/>
    <x v="1"/>
    <x v="2"/>
    <n v="57.89"/>
    <n v="0"/>
    <n v="173.67"/>
    <n v="58.9"/>
    <n v="33"/>
    <x v="1"/>
    <x v="2"/>
  </r>
  <r>
    <n v="100726"/>
    <x v="85"/>
    <s v="AD-9612-A"/>
    <x v="13"/>
    <x v="0"/>
    <x v="4"/>
    <x v="0"/>
    <x v="2"/>
    <n v="127.14"/>
    <n v="0"/>
    <n v="381.42"/>
    <n v="87.74"/>
    <n v="29"/>
    <x v="1"/>
    <x v="6"/>
  </r>
  <r>
    <n v="100799"/>
    <x v="569"/>
    <s v="AD-2516-D"/>
    <x v="15"/>
    <x v="1"/>
    <x v="4"/>
    <x v="1"/>
    <x v="2"/>
    <n v="142.84"/>
    <n v="0"/>
    <n v="428.52"/>
    <n v="125.72"/>
    <n v="25"/>
    <x v="0"/>
    <x v="2"/>
  </r>
  <r>
    <n v="100353"/>
    <x v="314"/>
    <s v="AD-3137-C"/>
    <x v="15"/>
    <x v="1"/>
    <x v="4"/>
    <x v="1"/>
    <x v="2"/>
    <n v="148.06"/>
    <n v="20"/>
    <n v="355.34"/>
    <n v="76.69"/>
    <n v="23"/>
    <x v="1"/>
    <x v="6"/>
  </r>
  <r>
    <n v="101152"/>
    <x v="41"/>
    <s v="AD-9227-D"/>
    <x v="1"/>
    <x v="0"/>
    <x v="0"/>
    <x v="0"/>
    <x v="2"/>
    <n v="24.27"/>
    <n v="10"/>
    <n v="65.53"/>
    <n v="12.71"/>
    <n v="23"/>
    <x v="1"/>
    <x v="2"/>
  </r>
  <r>
    <n v="100142"/>
    <x v="364"/>
    <s v="AD-7626-D"/>
    <x v="15"/>
    <x v="1"/>
    <x v="1"/>
    <x v="0"/>
    <x v="2"/>
    <n v="131.71"/>
    <n v="5"/>
    <n v="375.37"/>
    <n v="97.63"/>
    <n v="22"/>
    <x v="1"/>
    <x v="2"/>
  </r>
  <r>
    <n v="100470"/>
    <x v="510"/>
    <s v="AD-5314-B"/>
    <x v="3"/>
    <x v="2"/>
    <x v="4"/>
    <x v="1"/>
    <x v="2"/>
    <n v="18.14"/>
    <n v="0"/>
    <n v="54.42"/>
    <n v="11.64"/>
    <n v="33"/>
    <x v="1"/>
    <x v="0"/>
  </r>
  <r>
    <n v="100653"/>
    <x v="496"/>
    <s v="AD-2600-A"/>
    <x v="7"/>
    <x v="1"/>
    <x v="4"/>
    <x v="0"/>
    <x v="2"/>
    <n v="166.49"/>
    <n v="5"/>
    <n v="474.5"/>
    <n v="134.59"/>
    <n v="28"/>
    <x v="1"/>
    <x v="2"/>
  </r>
  <r>
    <n v="100399"/>
    <x v="287"/>
    <s v="AD-2324-D"/>
    <x v="4"/>
    <x v="2"/>
    <x v="2"/>
    <x v="3"/>
    <x v="2"/>
    <n v="59.8"/>
    <n v="0"/>
    <n v="179.4"/>
    <n v="68.19"/>
    <n v="35"/>
    <x v="1"/>
    <x v="3"/>
  </r>
  <r>
    <n v="101153"/>
    <x v="570"/>
    <s v="AD-4177-C"/>
    <x v="13"/>
    <x v="0"/>
    <x v="4"/>
    <x v="0"/>
    <x v="3"/>
    <n v="111.64"/>
    <n v="10"/>
    <n v="100.48"/>
    <n v="23.81"/>
    <n v="27"/>
    <x v="0"/>
    <x v="2"/>
  </r>
  <r>
    <n v="100937"/>
    <x v="571"/>
    <s v="AD-3844-A"/>
    <x v="8"/>
    <x v="2"/>
    <x v="1"/>
    <x v="0"/>
    <x v="2"/>
    <n v="14.6"/>
    <n v="5"/>
    <n v="41.61"/>
    <n v="12.82"/>
    <n v="39"/>
    <x v="1"/>
    <x v="4"/>
  </r>
  <r>
    <n v="100320"/>
    <x v="92"/>
    <s v="AD-2294-B"/>
    <x v="12"/>
    <x v="0"/>
    <x v="1"/>
    <x v="1"/>
    <x v="2"/>
    <n v="134.80000000000001"/>
    <n v="10"/>
    <n v="363.96"/>
    <n v="106.3"/>
    <n v="25"/>
    <x v="1"/>
    <x v="0"/>
  </r>
  <r>
    <n v="100019"/>
    <x v="572"/>
    <s v="AD-9834-B"/>
    <x v="15"/>
    <x v="1"/>
    <x v="4"/>
    <x v="0"/>
    <x v="1"/>
    <n v="154.15"/>
    <n v="0"/>
    <n v="308.3"/>
    <n v="99.47"/>
    <n v="28"/>
    <x v="0"/>
    <x v="6"/>
  </r>
  <r>
    <n v="100684"/>
    <x v="573"/>
    <s v="AD-7346-C"/>
    <x v="9"/>
    <x v="2"/>
    <x v="1"/>
    <x v="0"/>
    <x v="2"/>
    <n v="19.989999999999998"/>
    <n v="10"/>
    <n v="53.97"/>
    <n v="20.91"/>
    <n v="28"/>
    <x v="0"/>
    <x v="3"/>
  </r>
  <r>
    <n v="100035"/>
    <x v="379"/>
    <s v="AD-1158-A"/>
    <x v="13"/>
    <x v="0"/>
    <x v="0"/>
    <x v="0"/>
    <x v="0"/>
    <n v="127.11"/>
    <n v="0"/>
    <n v="635.54999999999995"/>
    <n v="160.93"/>
    <n v="36"/>
    <x v="0"/>
    <x v="2"/>
  </r>
  <r>
    <n v="100824"/>
    <x v="574"/>
    <s v="AD-4671-D"/>
    <x v="10"/>
    <x v="2"/>
    <x v="4"/>
    <x v="0"/>
    <x v="2"/>
    <n v="47.75"/>
    <n v="10"/>
    <n v="128.93"/>
    <n v="47.16"/>
    <n v="33"/>
    <x v="0"/>
    <x v="1"/>
  </r>
  <r>
    <n v="100505"/>
    <x v="263"/>
    <s v="AD-6171-A"/>
    <x v="11"/>
    <x v="0"/>
    <x v="0"/>
    <x v="0"/>
    <x v="1"/>
    <n v="33.19"/>
    <n v="5"/>
    <n v="63.06"/>
    <n v="19.12"/>
    <n v="38"/>
    <x v="0"/>
    <x v="5"/>
  </r>
  <r>
    <n v="100827"/>
    <x v="402"/>
    <s v="AD-3572-C"/>
    <x v="8"/>
    <x v="2"/>
    <x v="4"/>
    <x v="1"/>
    <x v="4"/>
    <n v="12"/>
    <n v="10"/>
    <n v="43.2"/>
    <n v="13.2"/>
    <n v="16"/>
    <x v="0"/>
    <x v="4"/>
  </r>
  <r>
    <n v="101070"/>
    <x v="575"/>
    <s v="AD-2804-A"/>
    <x v="6"/>
    <x v="1"/>
    <x v="2"/>
    <x v="0"/>
    <x v="0"/>
    <n v="185.68"/>
    <n v="20"/>
    <n v="742.72"/>
    <n v="207.01"/>
    <n v="24"/>
    <x v="1"/>
    <x v="3"/>
  </r>
  <r>
    <n v="100407"/>
    <x v="576"/>
    <s v="AD-1790-A"/>
    <x v="8"/>
    <x v="2"/>
    <x v="0"/>
    <x v="0"/>
    <x v="2"/>
    <n v="13.81"/>
    <n v="0"/>
    <n v="41.43"/>
    <n v="15.12"/>
    <n v="39"/>
    <x v="1"/>
    <x v="7"/>
  </r>
  <r>
    <n v="100817"/>
    <x v="432"/>
    <s v="AD-4799-A"/>
    <x v="9"/>
    <x v="2"/>
    <x v="0"/>
    <x v="3"/>
    <x v="1"/>
    <n v="22.06"/>
    <n v="0"/>
    <n v="44.12"/>
    <n v="9.18"/>
    <n v="25"/>
    <x v="0"/>
    <x v="5"/>
  </r>
  <r>
    <n v="100537"/>
    <x v="577"/>
    <s v="AD-2497-C"/>
    <x v="9"/>
    <x v="2"/>
    <x v="4"/>
    <x v="1"/>
    <x v="2"/>
    <n v="21.54"/>
    <n v="0"/>
    <n v="64.62"/>
    <n v="17.09"/>
    <n v="24"/>
    <x v="1"/>
    <x v="5"/>
  </r>
  <r>
    <n v="100758"/>
    <x v="268"/>
    <s v="AD-1304-B"/>
    <x v="8"/>
    <x v="2"/>
    <x v="1"/>
    <x v="0"/>
    <x v="2"/>
    <n v="15.28"/>
    <n v="5"/>
    <n v="43.55"/>
    <n v="12.72"/>
    <n v="41"/>
    <x v="1"/>
    <x v="3"/>
  </r>
  <r>
    <n v="101068"/>
    <x v="578"/>
    <s v="AD-9826-D"/>
    <x v="13"/>
    <x v="0"/>
    <x v="3"/>
    <x v="3"/>
    <x v="2"/>
    <n v="112.57"/>
    <n v="10"/>
    <n v="303.94"/>
    <n v="119.73"/>
    <n v="16"/>
    <x v="1"/>
    <x v="5"/>
  </r>
  <r>
    <n v="100892"/>
    <x v="579"/>
    <s v="AD-5909-D"/>
    <x v="9"/>
    <x v="2"/>
    <x v="3"/>
    <x v="1"/>
    <x v="3"/>
    <n v="23.81"/>
    <n v="0"/>
    <n v="23.81"/>
    <n v="9.19"/>
    <n v="40"/>
    <x v="1"/>
    <x v="4"/>
  </r>
  <r>
    <n v="100038"/>
    <x v="452"/>
    <s v="AD-7745-B"/>
    <x v="7"/>
    <x v="1"/>
    <x v="0"/>
    <x v="2"/>
    <x v="0"/>
    <n v="163.9"/>
    <n v="0"/>
    <n v="819.5"/>
    <n v="256.39"/>
    <n v="37"/>
    <x v="1"/>
    <x v="4"/>
  </r>
  <r>
    <n v="100175"/>
    <x v="580"/>
    <s v="AD-5150-A"/>
    <x v="16"/>
    <x v="1"/>
    <x v="1"/>
    <x v="0"/>
    <x v="3"/>
    <n v="33.53"/>
    <n v="0"/>
    <n v="33.53"/>
    <n v="12.68"/>
    <n v="29"/>
    <x v="1"/>
    <x v="5"/>
  </r>
  <r>
    <n v="100245"/>
    <x v="49"/>
    <s v="AD-6411-A"/>
    <x v="4"/>
    <x v="2"/>
    <x v="0"/>
    <x v="0"/>
    <x v="5"/>
    <n v="54.57"/>
    <n v="0"/>
    <n v="327.42"/>
    <n v="98"/>
    <n v="39"/>
    <x v="1"/>
    <x v="6"/>
  </r>
  <r>
    <n v="100810"/>
    <x v="581"/>
    <s v="AD-2911-A"/>
    <x v="19"/>
    <x v="1"/>
    <x v="0"/>
    <x v="0"/>
    <x v="2"/>
    <n v="140.88999999999999"/>
    <n v="40"/>
    <n v="253.6"/>
    <n v="85.72"/>
    <n v="43"/>
    <x v="1"/>
    <x v="2"/>
  </r>
  <r>
    <n v="101084"/>
    <x v="474"/>
    <s v="AD-6830-B"/>
    <x v="11"/>
    <x v="0"/>
    <x v="3"/>
    <x v="1"/>
    <x v="4"/>
    <n v="29.67"/>
    <n v="0"/>
    <n v="118.68"/>
    <n v="37.44"/>
    <n v="16"/>
    <x v="1"/>
    <x v="2"/>
  </r>
  <r>
    <n v="101077"/>
    <x v="444"/>
    <s v="AD-4724-D"/>
    <x v="4"/>
    <x v="2"/>
    <x v="2"/>
    <x v="1"/>
    <x v="3"/>
    <n v="60.97"/>
    <n v="0"/>
    <n v="60.97"/>
    <n v="14.81"/>
    <n v="29"/>
    <x v="0"/>
    <x v="0"/>
  </r>
  <r>
    <n v="100784"/>
    <x v="142"/>
    <s v="AD-5068-C"/>
    <x v="7"/>
    <x v="1"/>
    <x v="4"/>
    <x v="0"/>
    <x v="0"/>
    <n v="176.44"/>
    <n v="5"/>
    <n v="838.09"/>
    <n v="149.75"/>
    <n v="35"/>
    <x v="1"/>
    <x v="5"/>
  </r>
  <r>
    <n v="101184"/>
    <x v="444"/>
    <s v="AD-4849-C"/>
    <x v="10"/>
    <x v="2"/>
    <x v="4"/>
    <x v="0"/>
    <x v="2"/>
    <n v="49.69"/>
    <n v="5"/>
    <n v="141.62"/>
    <n v="39.880000000000003"/>
    <n v="28"/>
    <x v="1"/>
    <x v="3"/>
  </r>
  <r>
    <n v="100489"/>
    <x v="582"/>
    <s v="AD-2049-C"/>
    <x v="6"/>
    <x v="1"/>
    <x v="0"/>
    <x v="1"/>
    <x v="4"/>
    <n v="148.24"/>
    <n v="0"/>
    <n v="592.96"/>
    <n v="197.2"/>
    <n v="20"/>
    <x v="0"/>
    <x v="1"/>
  </r>
  <r>
    <n v="100154"/>
    <x v="583"/>
    <s v="AD-6461-A"/>
    <x v="8"/>
    <x v="2"/>
    <x v="4"/>
    <x v="1"/>
    <x v="5"/>
    <n v="14.38"/>
    <n v="0"/>
    <n v="86.28"/>
    <n v="36.979999999999997"/>
    <n v="42"/>
    <x v="0"/>
    <x v="3"/>
  </r>
  <r>
    <n v="100638"/>
    <x v="584"/>
    <s v="AD-9161-B"/>
    <x v="4"/>
    <x v="2"/>
    <x v="1"/>
    <x v="0"/>
    <x v="0"/>
    <n v="63.27"/>
    <n v="0"/>
    <n v="316.35000000000002"/>
    <n v="107.19"/>
    <n v="25"/>
    <x v="1"/>
    <x v="7"/>
  </r>
  <r>
    <n v="100662"/>
    <x v="585"/>
    <s v="AD-1054-D"/>
    <x v="4"/>
    <x v="2"/>
    <x v="0"/>
    <x v="2"/>
    <x v="1"/>
    <n v="63.3"/>
    <n v="5"/>
    <n v="120.27"/>
    <n v="52.04"/>
    <n v="25"/>
    <x v="1"/>
    <x v="6"/>
  </r>
  <r>
    <n v="100853"/>
    <x v="491"/>
    <s v="AD-2395-B"/>
    <x v="6"/>
    <x v="1"/>
    <x v="0"/>
    <x v="1"/>
    <x v="2"/>
    <n v="176.67"/>
    <n v="0"/>
    <n v="530.01"/>
    <n v="197.42"/>
    <n v="18"/>
    <x v="0"/>
    <x v="1"/>
  </r>
  <r>
    <n v="100287"/>
    <x v="125"/>
    <s v="AD-4519-B"/>
    <x v="6"/>
    <x v="1"/>
    <x v="2"/>
    <x v="0"/>
    <x v="3"/>
    <n v="153.12"/>
    <n v="0"/>
    <n v="153.12"/>
    <n v="49.61"/>
    <n v="19"/>
    <x v="1"/>
    <x v="7"/>
  </r>
  <r>
    <n v="100625"/>
    <x v="570"/>
    <s v="AD-5949-D"/>
    <x v="18"/>
    <x v="1"/>
    <x v="0"/>
    <x v="0"/>
    <x v="4"/>
    <n v="83.94"/>
    <n v="5"/>
    <n v="318.97000000000003"/>
    <n v="118.43"/>
    <n v="25"/>
    <x v="0"/>
    <x v="1"/>
  </r>
  <r>
    <n v="101199"/>
    <x v="504"/>
    <s v="AD-4399-D"/>
    <x v="7"/>
    <x v="1"/>
    <x v="3"/>
    <x v="1"/>
    <x v="1"/>
    <n v="176.23"/>
    <n v="0"/>
    <n v="352.46"/>
    <n v="120.59"/>
    <n v="36"/>
    <x v="1"/>
    <x v="6"/>
  </r>
  <r>
    <n v="100685"/>
    <x v="586"/>
    <s v="AD-1525-A"/>
    <x v="3"/>
    <x v="2"/>
    <x v="0"/>
    <x v="3"/>
    <x v="2"/>
    <n v="20.6"/>
    <n v="0"/>
    <n v="61.8"/>
    <n v="21.17"/>
    <n v="39"/>
    <x v="1"/>
    <x v="3"/>
  </r>
  <r>
    <n v="100872"/>
    <x v="373"/>
    <s v="AD-4137-A"/>
    <x v="16"/>
    <x v="1"/>
    <x v="4"/>
    <x v="0"/>
    <x v="4"/>
    <n v="32.76"/>
    <n v="5"/>
    <n v="124.49"/>
    <n v="35.81"/>
    <n v="27"/>
    <x v="1"/>
    <x v="4"/>
  </r>
  <r>
    <n v="100569"/>
    <x v="307"/>
    <s v="AD-9631-A"/>
    <x v="9"/>
    <x v="2"/>
    <x v="3"/>
    <x v="1"/>
    <x v="0"/>
    <n v="18.39"/>
    <n v="0"/>
    <n v="91.95"/>
    <n v="27.35"/>
    <n v="27"/>
    <x v="0"/>
    <x v="2"/>
  </r>
  <r>
    <n v="101143"/>
    <x v="587"/>
    <s v="AD-5422-B"/>
    <x v="15"/>
    <x v="1"/>
    <x v="3"/>
    <x v="0"/>
    <x v="2"/>
    <n v="141.38"/>
    <n v="10"/>
    <n v="381.73"/>
    <n v="117.96"/>
    <n v="24"/>
    <x v="1"/>
    <x v="2"/>
  </r>
  <r>
    <n v="100734"/>
    <x v="200"/>
    <s v="AD-4506-D"/>
    <x v="16"/>
    <x v="1"/>
    <x v="4"/>
    <x v="1"/>
    <x v="1"/>
    <n v="35.51"/>
    <n v="0"/>
    <n v="71.02"/>
    <n v="25.62"/>
    <n v="42"/>
    <x v="1"/>
    <x v="1"/>
  </r>
  <r>
    <n v="100792"/>
    <x v="215"/>
    <s v="AD-3435-A"/>
    <x v="14"/>
    <x v="1"/>
    <x v="2"/>
    <x v="1"/>
    <x v="4"/>
    <n v="252.89"/>
    <n v="0"/>
    <n v="1011.56"/>
    <n v="324.7"/>
    <n v="25"/>
    <x v="1"/>
    <x v="6"/>
  </r>
  <r>
    <n v="100017"/>
    <x v="588"/>
    <s v="AD-2982-B"/>
    <x v="0"/>
    <x v="0"/>
    <x v="0"/>
    <x v="0"/>
    <x v="4"/>
    <n v="59.26"/>
    <n v="5"/>
    <n v="225.19"/>
    <n v="57.76"/>
    <n v="18"/>
    <x v="0"/>
    <x v="5"/>
  </r>
  <r>
    <n v="100127"/>
    <x v="143"/>
    <s v="AD-7240-C"/>
    <x v="19"/>
    <x v="1"/>
    <x v="4"/>
    <x v="1"/>
    <x v="1"/>
    <n v="108.44"/>
    <n v="10"/>
    <n v="195.19"/>
    <n v="44.82"/>
    <n v="23"/>
    <x v="0"/>
    <x v="4"/>
  </r>
  <r>
    <n v="100322"/>
    <x v="589"/>
    <s v="AD-6067-B"/>
    <x v="5"/>
    <x v="0"/>
    <x v="4"/>
    <x v="0"/>
    <x v="4"/>
    <n v="74.05"/>
    <n v="10"/>
    <n v="266.58"/>
    <n v="85.32"/>
    <n v="22"/>
    <x v="1"/>
    <x v="7"/>
  </r>
  <r>
    <n v="100255"/>
    <x v="590"/>
    <s v="AD-8916-D"/>
    <x v="5"/>
    <x v="0"/>
    <x v="4"/>
    <x v="0"/>
    <x v="1"/>
    <n v="82.82"/>
    <n v="10"/>
    <n v="149.08000000000001"/>
    <n v="40.590000000000003"/>
    <n v="37"/>
    <x v="1"/>
    <x v="7"/>
  </r>
  <r>
    <n v="100943"/>
    <x v="591"/>
    <s v="AD-4309-B"/>
    <x v="4"/>
    <x v="2"/>
    <x v="0"/>
    <x v="0"/>
    <x v="0"/>
    <n v="62.58"/>
    <n v="0"/>
    <n v="312.89999999999998"/>
    <n v="97.62"/>
    <n v="17"/>
    <x v="1"/>
    <x v="0"/>
  </r>
  <r>
    <n v="101179"/>
    <x v="451"/>
    <s v="AD-2387-A"/>
    <x v="12"/>
    <x v="0"/>
    <x v="1"/>
    <x v="1"/>
    <x v="1"/>
    <n v="128.56"/>
    <n v="0"/>
    <n v="257.12"/>
    <n v="82.32"/>
    <n v="35"/>
    <x v="1"/>
    <x v="7"/>
  </r>
  <r>
    <n v="100190"/>
    <x v="451"/>
    <s v="AD-3114-D"/>
    <x v="13"/>
    <x v="0"/>
    <x v="1"/>
    <x v="1"/>
    <x v="3"/>
    <n v="118.28"/>
    <n v="0"/>
    <n v="118.28"/>
    <n v="27.92"/>
    <n v="44"/>
    <x v="1"/>
    <x v="3"/>
  </r>
  <r>
    <n v="100115"/>
    <x v="536"/>
    <s v="AD-2035-D"/>
    <x v="5"/>
    <x v="0"/>
    <x v="0"/>
    <x v="3"/>
    <x v="1"/>
    <n v="67.510000000000005"/>
    <n v="5"/>
    <n v="128.27000000000001"/>
    <n v="43.33"/>
    <n v="37"/>
    <x v="1"/>
    <x v="6"/>
  </r>
  <r>
    <n v="101173"/>
    <x v="592"/>
    <s v="AD-2607-C"/>
    <x v="9"/>
    <x v="2"/>
    <x v="4"/>
    <x v="1"/>
    <x v="2"/>
    <n v="22.53"/>
    <n v="0"/>
    <n v="67.59"/>
    <n v="25.9"/>
    <n v="32"/>
    <x v="1"/>
    <x v="2"/>
  </r>
  <r>
    <n v="100888"/>
    <x v="593"/>
    <s v="AD-1991-B"/>
    <x v="4"/>
    <x v="2"/>
    <x v="0"/>
    <x v="0"/>
    <x v="1"/>
    <n v="58.87"/>
    <n v="5"/>
    <n v="111.85"/>
    <n v="33.72"/>
    <n v="25"/>
    <x v="1"/>
    <x v="7"/>
  </r>
  <r>
    <n v="100606"/>
    <x v="594"/>
    <s v="AD-3877-B"/>
    <x v="6"/>
    <x v="1"/>
    <x v="1"/>
    <x v="0"/>
    <x v="4"/>
    <n v="161.56"/>
    <n v="10"/>
    <n v="581.62"/>
    <n v="180"/>
    <n v="31"/>
    <x v="0"/>
    <x v="7"/>
  </r>
  <r>
    <n v="100180"/>
    <x v="595"/>
    <s v="AD-1939-A"/>
    <x v="3"/>
    <x v="2"/>
    <x v="2"/>
    <x v="0"/>
    <x v="1"/>
    <n v="17.649999999999999"/>
    <n v="10"/>
    <n v="31.77"/>
    <n v="11.27"/>
    <n v="19"/>
    <x v="2"/>
    <x v="0"/>
  </r>
  <r>
    <n v="100301"/>
    <x v="596"/>
    <s v="AD-5090-B"/>
    <x v="4"/>
    <x v="2"/>
    <x v="3"/>
    <x v="2"/>
    <x v="3"/>
    <n v="63.33"/>
    <n v="0"/>
    <n v="63.33"/>
    <n v="22.58"/>
    <n v="44"/>
    <x v="1"/>
    <x v="3"/>
  </r>
  <r>
    <n v="100496"/>
    <x v="106"/>
    <s v="AD-9813-C"/>
    <x v="2"/>
    <x v="1"/>
    <x v="1"/>
    <x v="0"/>
    <x v="4"/>
    <n v="103.78"/>
    <n v="0"/>
    <n v="415.12"/>
    <n v="115.8"/>
    <n v="30"/>
    <x v="1"/>
    <x v="0"/>
  </r>
  <r>
    <n v="100348"/>
    <x v="597"/>
    <s v="AD-6224-B"/>
    <x v="9"/>
    <x v="2"/>
    <x v="0"/>
    <x v="0"/>
    <x v="2"/>
    <n v="21.94"/>
    <n v="5"/>
    <n v="62.53"/>
    <n v="19.72"/>
    <n v="16"/>
    <x v="1"/>
    <x v="7"/>
  </r>
  <r>
    <n v="101035"/>
    <x v="438"/>
    <s v="AD-6507-D"/>
    <x v="15"/>
    <x v="1"/>
    <x v="1"/>
    <x v="1"/>
    <x v="1"/>
    <n v="150.16"/>
    <n v="5"/>
    <n v="285.3"/>
    <n v="104.02"/>
    <n v="24"/>
    <x v="2"/>
    <x v="6"/>
  </r>
  <r>
    <n v="100982"/>
    <x v="598"/>
    <s v="AD-7359-D"/>
    <x v="13"/>
    <x v="0"/>
    <x v="0"/>
    <x v="0"/>
    <x v="1"/>
    <n v="122.97"/>
    <n v="0"/>
    <n v="245.94"/>
    <n v="78.62"/>
    <n v="26"/>
    <x v="1"/>
    <x v="6"/>
  </r>
  <r>
    <n v="100744"/>
    <x v="553"/>
    <s v="AD-7269-C"/>
    <x v="18"/>
    <x v="1"/>
    <x v="2"/>
    <x v="1"/>
    <x v="3"/>
    <n v="81.45"/>
    <n v="0"/>
    <n v="81.45"/>
    <n v="26.5"/>
    <n v="45"/>
    <x v="1"/>
    <x v="3"/>
  </r>
  <r>
    <n v="101151"/>
    <x v="599"/>
    <s v="AD-8802-D"/>
    <x v="18"/>
    <x v="1"/>
    <x v="4"/>
    <x v="2"/>
    <x v="2"/>
    <n v="89.65"/>
    <n v="0"/>
    <n v="268.95"/>
    <n v="98.54"/>
    <n v="47"/>
    <x v="1"/>
    <x v="7"/>
  </r>
  <r>
    <n v="100517"/>
    <x v="600"/>
    <s v="AD-3048-B"/>
    <x v="11"/>
    <x v="0"/>
    <x v="1"/>
    <x v="1"/>
    <x v="4"/>
    <n v="31.97"/>
    <n v="0"/>
    <n v="127.88"/>
    <n v="31.84"/>
    <n v="28"/>
    <x v="1"/>
    <x v="7"/>
  </r>
  <r>
    <n v="100372"/>
    <x v="601"/>
    <s v="AD-2970-D"/>
    <x v="2"/>
    <x v="1"/>
    <x v="2"/>
    <x v="0"/>
    <x v="2"/>
    <n v="90.24"/>
    <n v="5"/>
    <n v="257.18"/>
    <n v="88.24"/>
    <n v="25"/>
    <x v="0"/>
    <x v="3"/>
  </r>
  <r>
    <n v="100045"/>
    <x v="284"/>
    <s v="AD-6344-D"/>
    <x v="13"/>
    <x v="0"/>
    <x v="4"/>
    <x v="2"/>
    <x v="1"/>
    <n v="128.31"/>
    <n v="0"/>
    <n v="256.62"/>
    <n v="64.540000000000006"/>
    <n v="24"/>
    <x v="1"/>
    <x v="2"/>
  </r>
  <r>
    <n v="100476"/>
    <x v="493"/>
    <s v="AD-2404-B"/>
    <x v="7"/>
    <x v="1"/>
    <x v="1"/>
    <x v="3"/>
    <x v="2"/>
    <n v="157.22"/>
    <n v="0"/>
    <n v="471.66"/>
    <n v="134.22"/>
    <n v="28"/>
    <x v="0"/>
    <x v="0"/>
  </r>
  <r>
    <n v="100157"/>
    <x v="602"/>
    <s v="AD-4711-B"/>
    <x v="11"/>
    <x v="0"/>
    <x v="3"/>
    <x v="0"/>
    <x v="4"/>
    <n v="27.1"/>
    <n v="5"/>
    <n v="102.98"/>
    <n v="27.81"/>
    <n v="23"/>
    <x v="0"/>
    <x v="6"/>
  </r>
  <r>
    <n v="101046"/>
    <x v="24"/>
    <s v="AD-9401-D"/>
    <x v="1"/>
    <x v="0"/>
    <x v="4"/>
    <x v="1"/>
    <x v="3"/>
    <n v="21.96"/>
    <n v="20"/>
    <n v="17.57"/>
    <n v="5.92"/>
    <n v="23"/>
    <x v="0"/>
    <x v="7"/>
  </r>
  <r>
    <n v="100171"/>
    <x v="542"/>
    <s v="AD-7397-D"/>
    <x v="2"/>
    <x v="1"/>
    <x v="1"/>
    <x v="3"/>
    <x v="2"/>
    <n v="84.74"/>
    <n v="0"/>
    <n v="254.22"/>
    <n v="79.44"/>
    <n v="42"/>
    <x v="1"/>
    <x v="7"/>
  </r>
  <r>
    <n v="100016"/>
    <x v="145"/>
    <s v="AD-9835-B"/>
    <x v="9"/>
    <x v="2"/>
    <x v="4"/>
    <x v="1"/>
    <x v="5"/>
    <n v="20.58"/>
    <n v="0"/>
    <n v="123.48"/>
    <n v="36.409999999999997"/>
    <n v="30"/>
    <x v="0"/>
    <x v="6"/>
  </r>
  <r>
    <n v="100511"/>
    <x v="603"/>
    <s v="AD-5166-D"/>
    <x v="8"/>
    <x v="2"/>
    <x v="4"/>
    <x v="0"/>
    <x v="1"/>
    <n v="17.02"/>
    <n v="0"/>
    <n v="34.04"/>
    <n v="15.97"/>
    <n v="25"/>
    <x v="1"/>
    <x v="6"/>
  </r>
  <r>
    <n v="100048"/>
    <x v="141"/>
    <s v="AD-5649-C"/>
    <x v="16"/>
    <x v="1"/>
    <x v="0"/>
    <x v="3"/>
    <x v="1"/>
    <n v="36.24"/>
    <n v="0"/>
    <n v="72.48"/>
    <n v="24.55"/>
    <n v="16"/>
    <x v="0"/>
    <x v="1"/>
  </r>
  <r>
    <n v="100191"/>
    <x v="263"/>
    <s v="AD-6669-C"/>
    <x v="15"/>
    <x v="1"/>
    <x v="1"/>
    <x v="0"/>
    <x v="2"/>
    <n v="157.69"/>
    <n v="0"/>
    <n v="473.07"/>
    <n v="148.44"/>
    <n v="23"/>
    <x v="1"/>
    <x v="6"/>
  </r>
  <r>
    <n v="100546"/>
    <x v="604"/>
    <s v="AD-1214-B"/>
    <x v="19"/>
    <x v="1"/>
    <x v="4"/>
    <x v="0"/>
    <x v="5"/>
    <n v="137.22999999999999"/>
    <n v="0"/>
    <n v="823.38"/>
    <n v="186.82"/>
    <n v="22"/>
    <x v="0"/>
    <x v="1"/>
  </r>
  <r>
    <n v="100515"/>
    <x v="285"/>
    <s v="AD-2168-A"/>
    <x v="7"/>
    <x v="1"/>
    <x v="2"/>
    <x v="0"/>
    <x v="0"/>
    <n v="158.09"/>
    <n v="0"/>
    <n v="790.45"/>
    <n v="262.02"/>
    <n v="23"/>
    <x v="0"/>
    <x v="2"/>
  </r>
  <r>
    <n v="100977"/>
    <x v="505"/>
    <s v="AD-2728-D"/>
    <x v="8"/>
    <x v="2"/>
    <x v="4"/>
    <x v="1"/>
    <x v="1"/>
    <n v="14.39"/>
    <n v="20"/>
    <n v="23.02"/>
    <n v="10.47"/>
    <n v="30"/>
    <x v="0"/>
    <x v="1"/>
  </r>
  <r>
    <n v="100938"/>
    <x v="128"/>
    <s v="AD-7045-A"/>
    <x v="13"/>
    <x v="0"/>
    <x v="4"/>
    <x v="0"/>
    <x v="4"/>
    <n v="118.34"/>
    <n v="10"/>
    <n v="426.02"/>
    <n v="110.94"/>
    <n v="25"/>
    <x v="0"/>
    <x v="0"/>
  </r>
  <r>
    <n v="100828"/>
    <x v="548"/>
    <s v="AD-6482-B"/>
    <x v="3"/>
    <x v="2"/>
    <x v="1"/>
    <x v="2"/>
    <x v="2"/>
    <n v="19.97"/>
    <n v="0"/>
    <n v="59.91"/>
    <n v="15.22"/>
    <n v="23"/>
    <x v="1"/>
    <x v="4"/>
  </r>
  <r>
    <n v="100983"/>
    <x v="605"/>
    <s v="AD-2746-D"/>
    <x v="11"/>
    <x v="0"/>
    <x v="3"/>
    <x v="0"/>
    <x v="1"/>
    <n v="31.96"/>
    <n v="0"/>
    <n v="63.92"/>
    <n v="12.04"/>
    <n v="25"/>
    <x v="0"/>
    <x v="6"/>
  </r>
  <r>
    <n v="100480"/>
    <x v="136"/>
    <s v="AD-8901-B"/>
    <x v="19"/>
    <x v="1"/>
    <x v="2"/>
    <x v="1"/>
    <x v="1"/>
    <n v="126.51"/>
    <n v="0"/>
    <n v="253.02"/>
    <n v="65.92"/>
    <n v="26"/>
    <x v="0"/>
    <x v="1"/>
  </r>
  <r>
    <n v="101128"/>
    <x v="505"/>
    <s v="AD-8144-D"/>
    <x v="16"/>
    <x v="1"/>
    <x v="1"/>
    <x v="1"/>
    <x v="1"/>
    <n v="34.69"/>
    <n v="0"/>
    <n v="69.38"/>
    <n v="19.8"/>
    <n v="29"/>
    <x v="1"/>
    <x v="5"/>
  </r>
  <r>
    <n v="100283"/>
    <x v="8"/>
    <s v="AD-6110-C"/>
    <x v="4"/>
    <x v="2"/>
    <x v="4"/>
    <x v="2"/>
    <x v="1"/>
    <n v="66.06"/>
    <n v="0"/>
    <n v="132.12"/>
    <n v="38.5"/>
    <n v="50"/>
    <x v="0"/>
    <x v="4"/>
  </r>
  <r>
    <n v="101029"/>
    <x v="436"/>
    <s v="AD-9222-D"/>
    <x v="4"/>
    <x v="2"/>
    <x v="1"/>
    <x v="1"/>
    <x v="2"/>
    <n v="60.7"/>
    <n v="5"/>
    <n v="173"/>
    <n v="65.61"/>
    <n v="34"/>
    <x v="1"/>
    <x v="2"/>
  </r>
  <r>
    <n v="100797"/>
    <x v="606"/>
    <s v="AD-8861-D"/>
    <x v="17"/>
    <x v="2"/>
    <x v="4"/>
    <x v="0"/>
    <x v="4"/>
    <n v="40.64"/>
    <n v="0"/>
    <n v="162.56"/>
    <n v="27.91"/>
    <n v="22"/>
    <x v="1"/>
    <x v="5"/>
  </r>
  <r>
    <n v="100939"/>
    <x v="340"/>
    <s v="AD-5127-A"/>
    <x v="16"/>
    <x v="1"/>
    <x v="0"/>
    <x v="1"/>
    <x v="0"/>
    <n v="35.06"/>
    <n v="5"/>
    <n v="166.53"/>
    <n v="51.25"/>
    <n v="33"/>
    <x v="2"/>
    <x v="3"/>
  </r>
  <r>
    <n v="100225"/>
    <x v="552"/>
    <s v="AD-5374-C"/>
    <x v="14"/>
    <x v="1"/>
    <x v="3"/>
    <x v="0"/>
    <x v="1"/>
    <n v="233.61"/>
    <n v="5"/>
    <n v="443.86"/>
    <n v="130.18"/>
    <n v="28"/>
    <x v="1"/>
    <x v="5"/>
  </r>
  <r>
    <n v="100026"/>
    <x v="111"/>
    <s v="AD-1936-A"/>
    <x v="16"/>
    <x v="1"/>
    <x v="3"/>
    <x v="1"/>
    <x v="4"/>
    <n v="32.03"/>
    <n v="5"/>
    <n v="121.71"/>
    <n v="39.4"/>
    <n v="23"/>
    <x v="1"/>
    <x v="4"/>
  </r>
  <r>
    <n v="100282"/>
    <x v="607"/>
    <s v="AD-8909-A"/>
    <x v="3"/>
    <x v="2"/>
    <x v="0"/>
    <x v="1"/>
    <x v="1"/>
    <n v="15.96"/>
    <n v="0"/>
    <n v="31.92"/>
    <n v="6.6"/>
    <n v="17"/>
    <x v="1"/>
    <x v="7"/>
  </r>
  <r>
    <n v="101149"/>
    <x v="608"/>
    <s v="AD-9412-B"/>
    <x v="10"/>
    <x v="2"/>
    <x v="4"/>
    <x v="2"/>
    <x v="3"/>
    <n v="40.53"/>
    <n v="10"/>
    <n v="36.479999999999997"/>
    <n v="14.82"/>
    <n v="25"/>
    <x v="1"/>
    <x v="5"/>
  </r>
  <r>
    <n v="100437"/>
    <x v="509"/>
    <s v="AD-4275-C"/>
    <x v="4"/>
    <x v="2"/>
    <x v="1"/>
    <x v="0"/>
    <x v="6"/>
    <n v="54.13"/>
    <n v="0"/>
    <n v="378.91"/>
    <n v="96.08"/>
    <n v="26"/>
    <x v="1"/>
    <x v="7"/>
  </r>
  <r>
    <n v="101167"/>
    <x v="346"/>
    <s v="AD-4122-A"/>
    <x v="11"/>
    <x v="0"/>
    <x v="1"/>
    <x v="0"/>
    <x v="4"/>
    <n v="30.04"/>
    <n v="0"/>
    <n v="120.16"/>
    <n v="21.39"/>
    <n v="29"/>
    <x v="2"/>
    <x v="0"/>
  </r>
  <r>
    <n v="100364"/>
    <x v="609"/>
    <s v="AD-8113-B"/>
    <x v="19"/>
    <x v="1"/>
    <x v="2"/>
    <x v="1"/>
    <x v="1"/>
    <n v="117.21"/>
    <n v="0"/>
    <n v="234.42"/>
    <n v="76.150000000000006"/>
    <n v="51"/>
    <x v="1"/>
    <x v="3"/>
  </r>
  <r>
    <n v="100229"/>
    <x v="70"/>
    <s v="AD-9609-D"/>
    <x v="8"/>
    <x v="2"/>
    <x v="0"/>
    <x v="1"/>
    <x v="4"/>
    <n v="17.100000000000001"/>
    <n v="0"/>
    <n v="68.400000000000006"/>
    <n v="19.13"/>
    <n v="37"/>
    <x v="0"/>
    <x v="1"/>
  </r>
  <r>
    <n v="100037"/>
    <x v="482"/>
    <s v="AD-3532-B"/>
    <x v="15"/>
    <x v="1"/>
    <x v="4"/>
    <x v="0"/>
    <x v="0"/>
    <n v="136.28"/>
    <n v="0"/>
    <n v="681.4"/>
    <n v="235.26"/>
    <n v="25"/>
    <x v="1"/>
    <x v="2"/>
  </r>
  <r>
    <n v="100669"/>
    <x v="610"/>
    <s v="AD-8720-A"/>
    <x v="17"/>
    <x v="2"/>
    <x v="4"/>
    <x v="1"/>
    <x v="3"/>
    <n v="36.090000000000003"/>
    <n v="20"/>
    <n v="28.87"/>
    <n v="6.52"/>
    <n v="30"/>
    <x v="1"/>
    <x v="7"/>
  </r>
  <r>
    <n v="100749"/>
    <x v="322"/>
    <s v="AD-6779-C"/>
    <x v="8"/>
    <x v="2"/>
    <x v="1"/>
    <x v="0"/>
    <x v="3"/>
    <n v="14.24"/>
    <n v="0"/>
    <n v="14.24"/>
    <n v="3.99"/>
    <n v="25"/>
    <x v="1"/>
    <x v="2"/>
  </r>
  <r>
    <n v="101180"/>
    <x v="38"/>
    <s v="AD-1997-A"/>
    <x v="18"/>
    <x v="1"/>
    <x v="4"/>
    <x v="0"/>
    <x v="2"/>
    <n v="94.73"/>
    <n v="5"/>
    <n v="269.98"/>
    <n v="77.91"/>
    <n v="22"/>
    <x v="1"/>
    <x v="4"/>
  </r>
  <r>
    <n v="100374"/>
    <x v="611"/>
    <s v="AD-7510-C"/>
    <x v="19"/>
    <x v="1"/>
    <x v="2"/>
    <x v="2"/>
    <x v="6"/>
    <n v="123.33"/>
    <n v="40"/>
    <n v="517.99"/>
    <n v="166.58"/>
    <n v="23"/>
    <x v="1"/>
    <x v="2"/>
  </r>
  <r>
    <n v="100469"/>
    <x v="175"/>
    <s v="AD-7358-D"/>
    <x v="9"/>
    <x v="2"/>
    <x v="4"/>
    <x v="0"/>
    <x v="2"/>
    <n v="22.6"/>
    <n v="20"/>
    <n v="54.24"/>
    <n v="14.07"/>
    <n v="21"/>
    <x v="0"/>
    <x v="4"/>
  </r>
  <r>
    <n v="100882"/>
    <x v="471"/>
    <s v="AD-8184-A"/>
    <x v="13"/>
    <x v="0"/>
    <x v="0"/>
    <x v="1"/>
    <x v="3"/>
    <n v="137.97999999999999"/>
    <n v="0"/>
    <n v="137.97999999999999"/>
    <n v="46.73"/>
    <n v="35"/>
    <x v="1"/>
    <x v="1"/>
  </r>
  <r>
    <n v="101181"/>
    <x v="610"/>
    <s v="AD-9115-B"/>
    <x v="17"/>
    <x v="2"/>
    <x v="0"/>
    <x v="0"/>
    <x v="3"/>
    <n v="36.369999999999997"/>
    <n v="0"/>
    <n v="36.369999999999997"/>
    <n v="9.7899999999999991"/>
    <n v="24"/>
    <x v="1"/>
    <x v="3"/>
  </r>
  <r>
    <n v="100687"/>
    <x v="612"/>
    <s v="AD-9548-D"/>
    <x v="19"/>
    <x v="1"/>
    <x v="0"/>
    <x v="1"/>
    <x v="3"/>
    <n v="138.72999999999999"/>
    <n v="0"/>
    <n v="138.72999999999999"/>
    <n v="44.9"/>
    <n v="37"/>
    <x v="1"/>
    <x v="2"/>
  </r>
  <r>
    <n v="100032"/>
    <x v="613"/>
    <s v="AD-5905-A"/>
    <x v="0"/>
    <x v="0"/>
    <x v="2"/>
    <x v="1"/>
    <x v="0"/>
    <n v="58.87"/>
    <n v="20"/>
    <n v="235.48"/>
    <n v="62.55"/>
    <n v="35"/>
    <x v="0"/>
    <x v="7"/>
  </r>
  <r>
    <n v="101010"/>
    <x v="614"/>
    <s v="AD-3879-C"/>
    <x v="12"/>
    <x v="0"/>
    <x v="4"/>
    <x v="3"/>
    <x v="2"/>
    <n v="124.2"/>
    <n v="0"/>
    <n v="372.6"/>
    <n v="122.28"/>
    <n v="30"/>
    <x v="0"/>
    <x v="1"/>
  </r>
  <r>
    <n v="101175"/>
    <x v="596"/>
    <s v="AD-9942-B"/>
    <x v="4"/>
    <x v="2"/>
    <x v="1"/>
    <x v="0"/>
    <x v="2"/>
    <n v="60.68"/>
    <n v="0"/>
    <n v="182.04"/>
    <n v="52.42"/>
    <n v="31"/>
    <x v="0"/>
    <x v="5"/>
  </r>
  <r>
    <n v="100194"/>
    <x v="252"/>
    <s v="AD-1496-D"/>
    <x v="15"/>
    <x v="1"/>
    <x v="0"/>
    <x v="0"/>
    <x v="0"/>
    <n v="137.62"/>
    <n v="0"/>
    <n v="688.1"/>
    <n v="188.22"/>
    <n v="30"/>
    <x v="1"/>
    <x v="2"/>
  </r>
  <r>
    <n v="101105"/>
    <x v="615"/>
    <s v="AD-7884-B"/>
    <x v="14"/>
    <x v="1"/>
    <x v="0"/>
    <x v="1"/>
    <x v="4"/>
    <n v="193.24"/>
    <n v="0"/>
    <n v="772.96"/>
    <n v="233.34"/>
    <n v="38"/>
    <x v="1"/>
    <x v="6"/>
  </r>
  <r>
    <n v="101113"/>
    <x v="616"/>
    <s v="AD-4957-A"/>
    <x v="5"/>
    <x v="0"/>
    <x v="4"/>
    <x v="1"/>
    <x v="4"/>
    <n v="57.04"/>
    <n v="0"/>
    <n v="228.16"/>
    <n v="80.92"/>
    <n v="47"/>
    <x v="1"/>
    <x v="2"/>
  </r>
  <r>
    <n v="101063"/>
    <x v="298"/>
    <s v="AD-7967-B"/>
    <x v="2"/>
    <x v="1"/>
    <x v="0"/>
    <x v="0"/>
    <x v="2"/>
    <n v="95.36"/>
    <n v="0"/>
    <n v="286.08"/>
    <n v="61.27"/>
    <n v="19"/>
    <x v="1"/>
    <x v="3"/>
  </r>
  <r>
    <n v="100503"/>
    <x v="608"/>
    <s v="AD-9041-B"/>
    <x v="9"/>
    <x v="2"/>
    <x v="1"/>
    <x v="2"/>
    <x v="4"/>
    <n v="23.08"/>
    <n v="5"/>
    <n v="87.7"/>
    <n v="22.7"/>
    <n v="28"/>
    <x v="0"/>
    <x v="0"/>
  </r>
  <r>
    <n v="100915"/>
    <x v="617"/>
    <s v="AD-6342-A"/>
    <x v="5"/>
    <x v="0"/>
    <x v="0"/>
    <x v="0"/>
    <x v="1"/>
    <n v="67.34"/>
    <n v="5"/>
    <n v="127.95"/>
    <n v="29.9"/>
    <n v="42"/>
    <x v="0"/>
    <x v="0"/>
  </r>
  <r>
    <n v="100976"/>
    <x v="618"/>
    <s v="AD-8311-A"/>
    <x v="2"/>
    <x v="1"/>
    <x v="0"/>
    <x v="1"/>
    <x v="4"/>
    <n v="93.67"/>
    <n v="5"/>
    <n v="355.95"/>
    <n v="113.89"/>
    <n v="32"/>
    <x v="0"/>
    <x v="3"/>
  </r>
  <r>
    <n v="101182"/>
    <x v="426"/>
    <s v="AD-4288-A"/>
    <x v="14"/>
    <x v="1"/>
    <x v="1"/>
    <x v="3"/>
    <x v="3"/>
    <n v="235.5"/>
    <n v="5"/>
    <n v="223.72"/>
    <n v="66.040000000000006"/>
    <n v="37"/>
    <x v="1"/>
    <x v="5"/>
  </r>
  <r>
    <n v="101087"/>
    <x v="619"/>
    <s v="AD-8331-B"/>
    <x v="16"/>
    <x v="1"/>
    <x v="0"/>
    <x v="1"/>
    <x v="4"/>
    <n v="28.91"/>
    <n v="0"/>
    <n v="115.64"/>
    <n v="27.23"/>
    <n v="32"/>
    <x v="1"/>
    <x v="4"/>
  </r>
  <r>
    <n v="100800"/>
    <x v="27"/>
    <s v="AD-3669-D"/>
    <x v="7"/>
    <x v="1"/>
    <x v="0"/>
    <x v="0"/>
    <x v="2"/>
    <n v="142.61000000000001"/>
    <n v="20"/>
    <n v="342.26"/>
    <n v="84.2"/>
    <n v="19"/>
    <x v="1"/>
    <x v="6"/>
  </r>
  <r>
    <n v="100579"/>
    <x v="63"/>
    <s v="AD-4016-C"/>
    <x v="17"/>
    <x v="2"/>
    <x v="1"/>
    <x v="1"/>
    <x v="2"/>
    <n v="41.83"/>
    <n v="0"/>
    <n v="125.49"/>
    <n v="38.53"/>
    <n v="27"/>
    <x v="0"/>
    <x v="1"/>
  </r>
  <r>
    <n v="100160"/>
    <x v="620"/>
    <s v="AD-4833-B"/>
    <x v="11"/>
    <x v="0"/>
    <x v="4"/>
    <x v="0"/>
    <x v="1"/>
    <n v="31.33"/>
    <n v="0"/>
    <n v="62.66"/>
    <n v="15.2"/>
    <n v="27"/>
    <x v="1"/>
    <x v="5"/>
  </r>
  <r>
    <n v="100680"/>
    <x v="621"/>
    <s v="AD-1709-A"/>
    <x v="15"/>
    <x v="1"/>
    <x v="1"/>
    <x v="0"/>
    <x v="5"/>
    <n v="140.27000000000001"/>
    <n v="10"/>
    <n v="757.46"/>
    <n v="185.05"/>
    <n v="33"/>
    <x v="1"/>
    <x v="5"/>
  </r>
  <r>
    <n v="101197"/>
    <x v="479"/>
    <s v="AD-2409-A"/>
    <x v="0"/>
    <x v="0"/>
    <x v="0"/>
    <x v="0"/>
    <x v="4"/>
    <n v="48.9"/>
    <n v="20"/>
    <n v="156.47999999999999"/>
    <n v="41.41"/>
    <n v="19"/>
    <x v="1"/>
    <x v="6"/>
  </r>
  <r>
    <n v="100162"/>
    <x v="622"/>
    <s v="AD-5096-A"/>
    <x v="12"/>
    <x v="0"/>
    <x v="1"/>
    <x v="0"/>
    <x v="2"/>
    <n v="142.27000000000001"/>
    <n v="0"/>
    <n v="426.81"/>
    <n v="80.69"/>
    <n v="27"/>
    <x v="1"/>
    <x v="3"/>
  </r>
  <r>
    <n v="100821"/>
    <x v="117"/>
    <s v="AD-3654-B"/>
    <x v="12"/>
    <x v="0"/>
    <x v="2"/>
    <x v="1"/>
    <x v="1"/>
    <n v="135.47"/>
    <n v="0"/>
    <n v="270.94"/>
    <n v="78.23"/>
    <n v="34"/>
    <x v="0"/>
    <x v="5"/>
  </r>
  <r>
    <n v="100705"/>
    <x v="534"/>
    <s v="AD-3986-B"/>
    <x v="11"/>
    <x v="0"/>
    <x v="3"/>
    <x v="1"/>
    <x v="4"/>
    <n v="29.28"/>
    <n v="5"/>
    <n v="111.26"/>
    <n v="24.1"/>
    <n v="21"/>
    <x v="1"/>
    <x v="0"/>
  </r>
  <r>
    <n v="101008"/>
    <x v="623"/>
    <s v="AD-9984-D"/>
    <x v="4"/>
    <x v="2"/>
    <x v="3"/>
    <x v="0"/>
    <x v="4"/>
    <n v="66.48"/>
    <n v="5"/>
    <n v="252.62"/>
    <n v="56.62"/>
    <n v="19"/>
    <x v="1"/>
    <x v="1"/>
  </r>
  <r>
    <n v="100877"/>
    <x v="624"/>
    <s v="AD-1849-C"/>
    <x v="8"/>
    <x v="2"/>
    <x v="0"/>
    <x v="2"/>
    <x v="1"/>
    <n v="13.07"/>
    <n v="0"/>
    <n v="26.14"/>
    <n v="6.3"/>
    <n v="20"/>
    <x v="1"/>
    <x v="2"/>
  </r>
  <r>
    <n v="100895"/>
    <x v="439"/>
    <s v="AD-8215-B"/>
    <x v="6"/>
    <x v="1"/>
    <x v="4"/>
    <x v="0"/>
    <x v="2"/>
    <n v="175.6"/>
    <n v="5"/>
    <n v="500.46"/>
    <n v="131.79"/>
    <n v="27"/>
    <x v="1"/>
    <x v="0"/>
  </r>
  <r>
    <n v="100913"/>
    <x v="580"/>
    <s v="AD-8187-D"/>
    <x v="2"/>
    <x v="1"/>
    <x v="4"/>
    <x v="1"/>
    <x v="1"/>
    <n v="99.67"/>
    <n v="5"/>
    <n v="189.37"/>
    <n v="61.03"/>
    <n v="23"/>
    <x v="0"/>
    <x v="6"/>
  </r>
  <r>
    <n v="101198"/>
    <x v="404"/>
    <s v="AD-9955-A"/>
    <x v="18"/>
    <x v="1"/>
    <x v="0"/>
    <x v="2"/>
    <x v="2"/>
    <n v="93.55"/>
    <n v="20"/>
    <n v="224.52"/>
    <n v="71.14"/>
    <n v="33"/>
    <x v="1"/>
    <x v="2"/>
  </r>
  <r>
    <n v="100152"/>
    <x v="625"/>
    <s v="AD-7108-C"/>
    <x v="5"/>
    <x v="0"/>
    <x v="3"/>
    <x v="1"/>
    <x v="3"/>
    <n v="77.03"/>
    <n v="0"/>
    <n v="77.03"/>
    <n v="17.43"/>
    <n v="33"/>
    <x v="0"/>
    <x v="4"/>
  </r>
  <r>
    <n v="100978"/>
    <x v="200"/>
    <s v="AD-5220-D"/>
    <x v="6"/>
    <x v="1"/>
    <x v="2"/>
    <x v="2"/>
    <x v="4"/>
    <n v="176.76"/>
    <n v="20"/>
    <n v="565.63"/>
    <n v="143.41999999999999"/>
    <n v="34"/>
    <x v="0"/>
    <x v="6"/>
  </r>
  <r>
    <n v="101002"/>
    <x v="513"/>
    <s v="AD-9510-C"/>
    <x v="8"/>
    <x v="2"/>
    <x v="3"/>
    <x v="1"/>
    <x v="1"/>
    <n v="16.53"/>
    <n v="20"/>
    <n v="26.45"/>
    <n v="9.09"/>
    <n v="27"/>
    <x v="1"/>
    <x v="7"/>
  </r>
  <r>
    <n v="100509"/>
    <x v="626"/>
    <s v="AD-8749-A"/>
    <x v="5"/>
    <x v="0"/>
    <x v="2"/>
    <x v="0"/>
    <x v="4"/>
    <n v="67.17"/>
    <n v="0"/>
    <n v="268.68"/>
    <n v="106.87"/>
    <n v="30"/>
    <x v="0"/>
    <x v="3"/>
  </r>
  <r>
    <n v="100111"/>
    <x v="232"/>
    <s v="AD-3695-C"/>
    <x v="14"/>
    <x v="1"/>
    <x v="2"/>
    <x v="0"/>
    <x v="2"/>
    <n v="249.51"/>
    <n v="0"/>
    <n v="748.53"/>
    <n v="257.95999999999998"/>
    <n v="30"/>
    <x v="1"/>
    <x v="0"/>
  </r>
  <r>
    <n v="100226"/>
    <x v="627"/>
    <s v="AD-2936-D"/>
    <x v="17"/>
    <x v="2"/>
    <x v="4"/>
    <x v="1"/>
    <x v="2"/>
    <n v="36.9"/>
    <n v="0"/>
    <n v="110.7"/>
    <n v="40.799999999999997"/>
    <n v="17"/>
    <x v="0"/>
    <x v="7"/>
  </r>
  <r>
    <n v="100985"/>
    <x v="628"/>
    <s v="AD-6245-C"/>
    <x v="19"/>
    <x v="1"/>
    <x v="0"/>
    <x v="2"/>
    <x v="0"/>
    <n v="121.9"/>
    <n v="5"/>
    <n v="579.02"/>
    <n v="163.19999999999999"/>
    <n v="23"/>
    <x v="0"/>
    <x v="7"/>
  </r>
  <r>
    <n v="100851"/>
    <x v="520"/>
    <s v="AD-7344-B"/>
    <x v="3"/>
    <x v="2"/>
    <x v="4"/>
    <x v="1"/>
    <x v="2"/>
    <n v="18.13"/>
    <n v="0"/>
    <n v="54.39"/>
    <n v="11.02"/>
    <n v="25"/>
    <x v="1"/>
    <x v="2"/>
  </r>
  <r>
    <n v="100103"/>
    <x v="629"/>
    <s v="AD-3868-A"/>
    <x v="4"/>
    <x v="2"/>
    <x v="1"/>
    <x v="1"/>
    <x v="2"/>
    <n v="55.66"/>
    <n v="10"/>
    <n v="150.28"/>
    <n v="78.88"/>
    <n v="17"/>
    <x v="0"/>
    <x v="3"/>
  </r>
  <r>
    <n v="100421"/>
    <x v="75"/>
    <s v="AD-3571-D"/>
    <x v="12"/>
    <x v="0"/>
    <x v="0"/>
    <x v="2"/>
    <x v="2"/>
    <n v="122.31"/>
    <n v="10"/>
    <n v="330.24"/>
    <n v="92.75"/>
    <n v="22"/>
    <x v="0"/>
    <x v="7"/>
  </r>
  <r>
    <n v="100419"/>
    <x v="83"/>
    <s v="AD-1202-B"/>
    <x v="9"/>
    <x v="2"/>
    <x v="1"/>
    <x v="0"/>
    <x v="2"/>
    <n v="21.88"/>
    <n v="10"/>
    <n v="59.08"/>
    <n v="16.36"/>
    <n v="17"/>
    <x v="1"/>
    <x v="4"/>
  </r>
  <r>
    <n v="100624"/>
    <x v="630"/>
    <s v="AD-6711-B"/>
    <x v="6"/>
    <x v="1"/>
    <x v="4"/>
    <x v="1"/>
    <x v="3"/>
    <n v="190.17"/>
    <n v="10"/>
    <n v="171.15"/>
    <n v="49.27"/>
    <n v="27"/>
    <x v="0"/>
    <x v="0"/>
  </r>
  <r>
    <n v="100586"/>
    <x v="90"/>
    <s v="AD-1643-D"/>
    <x v="18"/>
    <x v="1"/>
    <x v="0"/>
    <x v="0"/>
    <x v="2"/>
    <n v="85.28"/>
    <n v="5"/>
    <n v="243.05"/>
    <n v="78.3"/>
    <n v="28"/>
    <x v="2"/>
    <x v="2"/>
  </r>
  <r>
    <n v="101060"/>
    <x v="597"/>
    <s v="AD-1393-B"/>
    <x v="0"/>
    <x v="0"/>
    <x v="2"/>
    <x v="0"/>
    <x v="2"/>
    <n v="58.05"/>
    <n v="10"/>
    <n v="156.72999999999999"/>
    <n v="50.62"/>
    <n v="30"/>
    <x v="1"/>
    <x v="6"/>
  </r>
  <r>
    <n v="100919"/>
    <x v="409"/>
    <s v="AD-7039-A"/>
    <x v="12"/>
    <x v="0"/>
    <x v="4"/>
    <x v="1"/>
    <x v="1"/>
    <n v="123.75"/>
    <n v="5"/>
    <n v="235.12"/>
    <n v="53.12"/>
    <n v="34"/>
    <x v="1"/>
    <x v="7"/>
  </r>
  <r>
    <n v="100672"/>
    <x v="360"/>
    <s v="AD-6268-B"/>
    <x v="13"/>
    <x v="0"/>
    <x v="3"/>
    <x v="1"/>
    <x v="5"/>
    <n v="132.09"/>
    <n v="0"/>
    <n v="792.54"/>
    <n v="276.43"/>
    <n v="32"/>
    <x v="1"/>
    <x v="3"/>
  </r>
  <r>
    <n v="100119"/>
    <x v="631"/>
    <s v="AD-1992-D"/>
    <x v="5"/>
    <x v="0"/>
    <x v="4"/>
    <x v="1"/>
    <x v="0"/>
    <n v="77.53"/>
    <n v="0"/>
    <n v="387.65"/>
    <n v="167.59"/>
    <n v="34"/>
    <x v="1"/>
    <x v="4"/>
  </r>
  <r>
    <n v="100053"/>
    <x v="632"/>
    <s v="AD-5543-D"/>
    <x v="8"/>
    <x v="2"/>
    <x v="4"/>
    <x v="2"/>
    <x v="4"/>
    <n v="15.09"/>
    <n v="5"/>
    <n v="57.34"/>
    <n v="16.97"/>
    <n v="31"/>
    <x v="1"/>
    <x v="6"/>
  </r>
  <r>
    <n v="100151"/>
    <x v="361"/>
    <s v="AD-9266-B"/>
    <x v="14"/>
    <x v="1"/>
    <x v="1"/>
    <x v="2"/>
    <x v="3"/>
    <n v="228.82"/>
    <n v="0"/>
    <n v="228.82"/>
    <n v="71.19"/>
    <n v="26"/>
    <x v="0"/>
    <x v="1"/>
  </r>
  <r>
    <n v="100403"/>
    <x v="68"/>
    <s v="AD-3736-A"/>
    <x v="5"/>
    <x v="0"/>
    <x v="2"/>
    <x v="0"/>
    <x v="2"/>
    <n v="62.43"/>
    <n v="20"/>
    <n v="149.83000000000001"/>
    <n v="43.51"/>
    <n v="31"/>
    <x v="1"/>
    <x v="0"/>
  </r>
  <r>
    <n v="101188"/>
    <x v="161"/>
    <s v="AD-1558-D"/>
    <x v="4"/>
    <x v="2"/>
    <x v="4"/>
    <x v="0"/>
    <x v="3"/>
    <n v="53.84"/>
    <n v="10"/>
    <n v="48.46"/>
    <n v="18.420000000000002"/>
    <n v="29"/>
    <x v="1"/>
    <x v="0"/>
  </r>
  <r>
    <n v="100207"/>
    <x v="548"/>
    <s v="AD-6040-A"/>
    <x v="17"/>
    <x v="2"/>
    <x v="0"/>
    <x v="0"/>
    <x v="3"/>
    <n v="38.24"/>
    <n v="5"/>
    <n v="36.33"/>
    <n v="13.84"/>
    <n v="30"/>
    <x v="0"/>
    <x v="2"/>
  </r>
  <r>
    <n v="101134"/>
    <x v="633"/>
    <s v="AD-6268-B"/>
    <x v="13"/>
    <x v="0"/>
    <x v="1"/>
    <x v="0"/>
    <x v="2"/>
    <n v="145.36000000000001"/>
    <n v="10"/>
    <n v="392.47"/>
    <n v="123.98"/>
    <n v="48"/>
    <x v="1"/>
    <x v="5"/>
  </r>
  <r>
    <n v="100658"/>
    <x v="493"/>
    <s v="AD-3923-D"/>
    <x v="1"/>
    <x v="0"/>
    <x v="4"/>
    <x v="3"/>
    <x v="1"/>
    <n v="25.8"/>
    <n v="20"/>
    <n v="41.28"/>
    <n v="9.51"/>
    <n v="40"/>
    <x v="1"/>
    <x v="2"/>
  </r>
  <r>
    <n v="101096"/>
    <x v="634"/>
    <s v="AD-8096-B"/>
    <x v="8"/>
    <x v="2"/>
    <x v="1"/>
    <x v="0"/>
    <x v="1"/>
    <n v="12.76"/>
    <n v="0"/>
    <n v="25.52"/>
    <n v="9.16"/>
    <n v="22"/>
    <x v="0"/>
    <x v="2"/>
  </r>
  <r>
    <n v="100232"/>
    <x v="635"/>
    <s v="AD-6049-A"/>
    <x v="15"/>
    <x v="1"/>
    <x v="1"/>
    <x v="1"/>
    <x v="3"/>
    <n v="147.78"/>
    <n v="5"/>
    <n v="140.38999999999999"/>
    <n v="41.21"/>
    <n v="39"/>
    <x v="1"/>
    <x v="5"/>
  </r>
  <r>
    <n v="100008"/>
    <x v="393"/>
    <s v="AD-4483-D"/>
    <x v="15"/>
    <x v="1"/>
    <x v="1"/>
    <x v="0"/>
    <x v="1"/>
    <n v="152.62"/>
    <n v="0"/>
    <n v="305.24"/>
    <n v="105.03"/>
    <n v="21"/>
    <x v="0"/>
    <x v="4"/>
  </r>
  <r>
    <n v="100159"/>
    <x v="166"/>
    <s v="AD-8170-A"/>
    <x v="12"/>
    <x v="0"/>
    <x v="4"/>
    <x v="1"/>
    <x v="2"/>
    <n v="145.52000000000001"/>
    <n v="20"/>
    <n v="349.25"/>
    <n v="86.95"/>
    <n v="25"/>
    <x v="0"/>
    <x v="3"/>
  </r>
  <r>
    <n v="100036"/>
    <x v="500"/>
    <s v="AD-1685-C"/>
    <x v="14"/>
    <x v="1"/>
    <x v="2"/>
    <x v="1"/>
    <x v="4"/>
    <n v="223.77"/>
    <n v="0"/>
    <n v="895.08"/>
    <n v="212.77"/>
    <n v="30"/>
    <x v="1"/>
    <x v="3"/>
  </r>
  <r>
    <n v="100452"/>
    <x v="29"/>
    <s v="AD-8391-D"/>
    <x v="1"/>
    <x v="0"/>
    <x v="0"/>
    <x v="0"/>
    <x v="3"/>
    <n v="22.4"/>
    <n v="0"/>
    <n v="22.4"/>
    <n v="7.39"/>
    <n v="39"/>
    <x v="1"/>
    <x v="2"/>
  </r>
  <r>
    <n v="100651"/>
    <x v="359"/>
    <s v="AD-5466-C"/>
    <x v="10"/>
    <x v="2"/>
    <x v="4"/>
    <x v="2"/>
    <x v="0"/>
    <n v="45.43"/>
    <n v="0"/>
    <n v="227.15"/>
    <n v="90.51"/>
    <n v="16"/>
    <x v="0"/>
    <x v="2"/>
  </r>
  <r>
    <n v="100253"/>
    <x v="636"/>
    <s v="AD-4015-A"/>
    <x v="9"/>
    <x v="2"/>
    <x v="0"/>
    <x v="0"/>
    <x v="3"/>
    <n v="21.28"/>
    <n v="5"/>
    <n v="20.22"/>
    <n v="5.8"/>
    <n v="27"/>
    <x v="1"/>
    <x v="5"/>
  </r>
  <r>
    <n v="100303"/>
    <x v="637"/>
    <s v="AD-7046-D"/>
    <x v="2"/>
    <x v="1"/>
    <x v="2"/>
    <x v="0"/>
    <x v="4"/>
    <n v="110.28"/>
    <n v="0"/>
    <n v="441.12"/>
    <n v="163.15"/>
    <n v="30"/>
    <x v="1"/>
    <x v="0"/>
  </r>
  <r>
    <n v="100896"/>
    <x v="82"/>
    <s v="AD-3853-B"/>
    <x v="17"/>
    <x v="2"/>
    <x v="1"/>
    <x v="3"/>
    <x v="2"/>
    <n v="37.17"/>
    <n v="0"/>
    <n v="111.51"/>
    <n v="32.729999999999997"/>
    <n v="33"/>
    <x v="1"/>
    <x v="0"/>
  </r>
  <r>
    <n v="101048"/>
    <x v="399"/>
    <s v="AD-5430-A"/>
    <x v="8"/>
    <x v="2"/>
    <x v="4"/>
    <x v="0"/>
    <x v="1"/>
    <n v="15.14"/>
    <n v="20"/>
    <n v="24.22"/>
    <n v="8.77"/>
    <n v="28"/>
    <x v="0"/>
    <x v="3"/>
  </r>
  <r>
    <n v="100880"/>
    <x v="312"/>
    <s v="AD-1456-D"/>
    <x v="2"/>
    <x v="1"/>
    <x v="4"/>
    <x v="0"/>
    <x v="0"/>
    <n v="99.39"/>
    <n v="0"/>
    <n v="496.95"/>
    <n v="145.88999999999999"/>
    <n v="33"/>
    <x v="1"/>
    <x v="1"/>
  </r>
  <r>
    <n v="100571"/>
    <x v="638"/>
    <s v="AD-7332-B"/>
    <x v="1"/>
    <x v="0"/>
    <x v="2"/>
    <x v="0"/>
    <x v="1"/>
    <n v="24.21"/>
    <n v="0"/>
    <n v="48.42"/>
    <n v="13.29"/>
    <n v="25"/>
    <x v="1"/>
    <x v="0"/>
  </r>
  <r>
    <n v="100623"/>
    <x v="326"/>
    <s v="AD-6320-D"/>
    <x v="19"/>
    <x v="1"/>
    <x v="1"/>
    <x v="0"/>
    <x v="2"/>
    <n v="144.21"/>
    <n v="40"/>
    <n v="259.58"/>
    <n v="84.4"/>
    <n v="44"/>
    <x v="0"/>
    <x v="4"/>
  </r>
  <r>
    <n v="101144"/>
    <x v="639"/>
    <s v="AD-8320-A"/>
    <x v="14"/>
    <x v="1"/>
    <x v="4"/>
    <x v="0"/>
    <x v="2"/>
    <n v="228.98"/>
    <n v="0"/>
    <n v="686.94"/>
    <n v="181.13"/>
    <n v="34"/>
    <x v="1"/>
    <x v="2"/>
  </r>
  <r>
    <n v="101030"/>
    <x v="529"/>
    <s v="AD-4874-A"/>
    <x v="18"/>
    <x v="1"/>
    <x v="0"/>
    <x v="0"/>
    <x v="0"/>
    <n v="86.12"/>
    <n v="0"/>
    <n v="430.6"/>
    <n v="99.43"/>
    <n v="20"/>
    <x v="1"/>
    <x v="7"/>
  </r>
  <r>
    <n v="101145"/>
    <x v="466"/>
    <s v="AD-4700-A"/>
    <x v="10"/>
    <x v="2"/>
    <x v="1"/>
    <x v="1"/>
    <x v="2"/>
    <n v="42.38"/>
    <n v="20"/>
    <n v="101.71"/>
    <n v="28.14"/>
    <n v="33"/>
    <x v="1"/>
    <x v="5"/>
  </r>
  <r>
    <n v="100262"/>
    <x v="304"/>
    <s v="AD-5903-B"/>
    <x v="16"/>
    <x v="1"/>
    <x v="0"/>
    <x v="1"/>
    <x v="0"/>
    <n v="41.04"/>
    <n v="0"/>
    <n v="205.2"/>
    <n v="55.35"/>
    <n v="20"/>
    <x v="1"/>
    <x v="1"/>
  </r>
  <r>
    <n v="100610"/>
    <x v="640"/>
    <s v="AD-4070-A"/>
    <x v="6"/>
    <x v="1"/>
    <x v="1"/>
    <x v="1"/>
    <x v="2"/>
    <n v="189.4"/>
    <n v="5"/>
    <n v="539.79"/>
    <n v="131.22999999999999"/>
    <n v="22"/>
    <x v="1"/>
    <x v="2"/>
  </r>
  <r>
    <n v="100297"/>
    <x v="641"/>
    <s v="AD-5877-A"/>
    <x v="15"/>
    <x v="1"/>
    <x v="1"/>
    <x v="0"/>
    <x v="1"/>
    <n v="156.19"/>
    <n v="0"/>
    <n v="312.38"/>
    <n v="69.31"/>
    <n v="25"/>
    <x v="1"/>
    <x v="6"/>
  </r>
  <r>
    <n v="100989"/>
    <x v="642"/>
    <s v="AD-5626-B"/>
    <x v="4"/>
    <x v="2"/>
    <x v="3"/>
    <x v="1"/>
    <x v="5"/>
    <n v="63.16"/>
    <n v="0"/>
    <n v="378.96"/>
    <n v="109"/>
    <n v="37"/>
    <x v="1"/>
    <x v="0"/>
  </r>
  <r>
    <n v="100414"/>
    <x v="76"/>
    <s v="AD-2898-A"/>
    <x v="7"/>
    <x v="1"/>
    <x v="2"/>
    <x v="0"/>
    <x v="4"/>
    <n v="162.08000000000001"/>
    <n v="0"/>
    <n v="648.32000000000005"/>
    <n v="195.84"/>
    <n v="30"/>
    <x v="0"/>
    <x v="2"/>
  </r>
  <r>
    <n v="100150"/>
    <x v="643"/>
    <s v="AD-6267-D"/>
    <x v="17"/>
    <x v="2"/>
    <x v="0"/>
    <x v="2"/>
    <x v="0"/>
    <n v="39.869999999999997"/>
    <n v="0"/>
    <n v="199.35"/>
    <n v="75.3"/>
    <n v="18"/>
    <x v="1"/>
    <x v="6"/>
  </r>
  <r>
    <n v="100945"/>
    <x v="494"/>
    <s v="AD-1388-B"/>
    <x v="13"/>
    <x v="0"/>
    <x v="0"/>
    <x v="1"/>
    <x v="0"/>
    <n v="112.2"/>
    <n v="0"/>
    <n v="561"/>
    <n v="134.72"/>
    <n v="16"/>
    <x v="0"/>
    <x v="0"/>
  </r>
  <r>
    <n v="100472"/>
    <x v="126"/>
    <s v="AD-8207-B"/>
    <x v="11"/>
    <x v="0"/>
    <x v="1"/>
    <x v="1"/>
    <x v="2"/>
    <n v="29.45"/>
    <n v="5"/>
    <n v="83.93"/>
    <n v="19.21"/>
    <n v="33"/>
    <x v="1"/>
    <x v="3"/>
  </r>
  <r>
    <n v="100952"/>
    <x v="254"/>
    <s v="AD-5215-D"/>
    <x v="2"/>
    <x v="1"/>
    <x v="2"/>
    <x v="1"/>
    <x v="4"/>
    <n v="95.66"/>
    <n v="0"/>
    <n v="382.64"/>
    <n v="106.68"/>
    <n v="39"/>
    <x v="1"/>
    <x v="3"/>
  </r>
  <r>
    <n v="100987"/>
    <x v="48"/>
    <s v="AD-1861-B"/>
    <x v="12"/>
    <x v="0"/>
    <x v="0"/>
    <x v="0"/>
    <x v="4"/>
    <n v="148.11000000000001"/>
    <n v="10"/>
    <n v="533.20000000000005"/>
    <n v="136.19"/>
    <n v="36"/>
    <x v="0"/>
    <x v="6"/>
  </r>
  <r>
    <n v="100778"/>
    <x v="637"/>
    <s v="AD-5616-B"/>
    <x v="9"/>
    <x v="2"/>
    <x v="4"/>
    <x v="0"/>
    <x v="2"/>
    <n v="21.53"/>
    <n v="0"/>
    <n v="64.59"/>
    <n v="13.01"/>
    <n v="26"/>
    <x v="0"/>
    <x v="4"/>
  </r>
  <r>
    <n v="100640"/>
    <x v="273"/>
    <s v="AD-8617-A"/>
    <x v="17"/>
    <x v="2"/>
    <x v="0"/>
    <x v="0"/>
    <x v="4"/>
    <n v="38.24"/>
    <n v="5"/>
    <n v="145.31"/>
    <n v="46.46"/>
    <n v="25"/>
    <x v="0"/>
    <x v="0"/>
  </r>
  <r>
    <n v="101189"/>
    <x v="644"/>
    <s v="AD-6861-B"/>
    <x v="11"/>
    <x v="0"/>
    <x v="1"/>
    <x v="1"/>
    <x v="2"/>
    <n v="30.2"/>
    <n v="0"/>
    <n v="90.6"/>
    <n v="23.02"/>
    <n v="44"/>
    <x v="1"/>
    <x v="3"/>
  </r>
  <r>
    <n v="101142"/>
    <x v="364"/>
    <s v="AD-1860-C"/>
    <x v="4"/>
    <x v="2"/>
    <x v="4"/>
    <x v="1"/>
    <x v="2"/>
    <n v="63.38"/>
    <n v="20"/>
    <n v="152.11000000000001"/>
    <n v="48.89"/>
    <n v="31"/>
    <x v="0"/>
    <x v="7"/>
  </r>
  <r>
    <n v="100550"/>
    <x v="645"/>
    <s v="AD-2705-B"/>
    <x v="18"/>
    <x v="1"/>
    <x v="0"/>
    <x v="1"/>
    <x v="2"/>
    <n v="87.2"/>
    <n v="0"/>
    <n v="261.60000000000002"/>
    <n v="63.47"/>
    <n v="16"/>
    <x v="0"/>
    <x v="2"/>
  </r>
  <r>
    <n v="100639"/>
    <x v="429"/>
    <s v="AD-8917-C"/>
    <x v="10"/>
    <x v="2"/>
    <x v="2"/>
    <x v="1"/>
    <x v="3"/>
    <n v="48.04"/>
    <n v="40"/>
    <n v="28.82"/>
    <n v="13.53"/>
    <n v="23"/>
    <x v="1"/>
    <x v="7"/>
  </r>
  <r>
    <n v="100935"/>
    <x v="445"/>
    <s v="AD-4613-A"/>
    <x v="2"/>
    <x v="1"/>
    <x v="4"/>
    <x v="0"/>
    <x v="3"/>
    <n v="76.73"/>
    <n v="10"/>
    <n v="69.06"/>
    <n v="23.17"/>
    <n v="54"/>
    <x v="0"/>
    <x v="1"/>
  </r>
  <r>
    <n v="100928"/>
    <x v="646"/>
    <s v="AD-7244-C"/>
    <x v="3"/>
    <x v="2"/>
    <x v="4"/>
    <x v="0"/>
    <x v="2"/>
    <n v="18.350000000000001"/>
    <n v="20"/>
    <n v="44.04"/>
    <n v="18.399999999999999"/>
    <n v="38"/>
    <x v="1"/>
    <x v="5"/>
  </r>
  <r>
    <n v="100488"/>
    <x v="647"/>
    <s v="AD-3633-D"/>
    <x v="7"/>
    <x v="1"/>
    <x v="1"/>
    <x v="1"/>
    <x v="3"/>
    <n v="143.94"/>
    <n v="10"/>
    <n v="129.55000000000001"/>
    <n v="29.34"/>
    <n v="25"/>
    <x v="0"/>
    <x v="7"/>
  </r>
  <r>
    <n v="100819"/>
    <x v="648"/>
    <s v="AD-4149-D"/>
    <x v="19"/>
    <x v="1"/>
    <x v="1"/>
    <x v="1"/>
    <x v="1"/>
    <n v="140.96"/>
    <n v="0"/>
    <n v="281.92"/>
    <n v="97.1"/>
    <n v="32"/>
    <x v="1"/>
    <x v="0"/>
  </r>
  <r>
    <n v="100710"/>
    <x v="609"/>
    <s v="AD-1406-D"/>
    <x v="18"/>
    <x v="1"/>
    <x v="2"/>
    <x v="0"/>
    <x v="1"/>
    <n v="75.56"/>
    <n v="0"/>
    <n v="151.12"/>
    <n v="33.24"/>
    <n v="22"/>
    <x v="0"/>
    <x v="0"/>
  </r>
  <r>
    <n v="101080"/>
    <x v="5"/>
    <s v="AD-5422-A"/>
    <x v="12"/>
    <x v="0"/>
    <x v="4"/>
    <x v="2"/>
    <x v="1"/>
    <n v="118.66"/>
    <n v="0"/>
    <n v="237.32"/>
    <n v="70.12"/>
    <n v="24"/>
    <x v="0"/>
    <x v="6"/>
  </r>
  <r>
    <n v="100147"/>
    <x v="490"/>
    <s v="AD-6179-B"/>
    <x v="17"/>
    <x v="2"/>
    <x v="1"/>
    <x v="3"/>
    <x v="1"/>
    <n v="41.99"/>
    <n v="0"/>
    <n v="83.98"/>
    <n v="29.95"/>
    <n v="34"/>
    <x v="0"/>
    <x v="4"/>
  </r>
  <r>
    <n v="100146"/>
    <x v="649"/>
    <s v="AD-3902-D"/>
    <x v="18"/>
    <x v="1"/>
    <x v="4"/>
    <x v="1"/>
    <x v="2"/>
    <n v="77.599999999999994"/>
    <n v="10"/>
    <n v="209.52"/>
    <n v="72.59"/>
    <n v="29"/>
    <x v="0"/>
    <x v="1"/>
  </r>
  <r>
    <n v="101174"/>
    <x v="650"/>
    <s v="AD-4268-C"/>
    <x v="0"/>
    <x v="0"/>
    <x v="4"/>
    <x v="0"/>
    <x v="1"/>
    <n v="53.3"/>
    <n v="0"/>
    <n v="106.6"/>
    <n v="22.83"/>
    <n v="32"/>
    <x v="0"/>
    <x v="3"/>
  </r>
  <r>
    <n v="100962"/>
    <x v="651"/>
    <s v="AD-6047-A"/>
    <x v="17"/>
    <x v="2"/>
    <x v="1"/>
    <x v="0"/>
    <x v="0"/>
    <n v="38.92"/>
    <n v="0"/>
    <n v="194.6"/>
    <n v="66.099999999999994"/>
    <n v="33"/>
    <x v="0"/>
    <x v="2"/>
  </r>
  <r>
    <n v="100345"/>
    <x v="101"/>
    <s v="AD-1567-B"/>
    <x v="4"/>
    <x v="2"/>
    <x v="4"/>
    <x v="0"/>
    <x v="3"/>
    <n v="57.64"/>
    <n v="20"/>
    <n v="46.11"/>
    <n v="14.49"/>
    <n v="24"/>
    <x v="1"/>
    <x v="3"/>
  </r>
  <r>
    <n v="100402"/>
    <x v="403"/>
    <s v="AD-1293-A"/>
    <x v="8"/>
    <x v="2"/>
    <x v="1"/>
    <x v="0"/>
    <x v="1"/>
    <n v="12.41"/>
    <n v="20"/>
    <n v="19.86"/>
    <n v="6.91"/>
    <n v="37"/>
    <x v="1"/>
    <x v="6"/>
  </r>
  <r>
    <n v="100931"/>
    <x v="397"/>
    <s v="AD-3759-A"/>
    <x v="7"/>
    <x v="1"/>
    <x v="4"/>
    <x v="0"/>
    <x v="4"/>
    <n v="174.33"/>
    <n v="20"/>
    <n v="557.86"/>
    <n v="139.22999999999999"/>
    <n v="16"/>
    <x v="1"/>
    <x v="2"/>
  </r>
  <r>
    <n v="100954"/>
    <x v="111"/>
    <s v="AD-7812-D"/>
    <x v="16"/>
    <x v="1"/>
    <x v="2"/>
    <x v="1"/>
    <x v="1"/>
    <n v="33.6"/>
    <n v="10"/>
    <n v="60.48"/>
    <n v="17.829999999999998"/>
    <n v="32"/>
    <x v="1"/>
    <x v="2"/>
  </r>
  <r>
    <n v="101124"/>
    <x v="234"/>
    <s v="AD-1515-A"/>
    <x v="13"/>
    <x v="0"/>
    <x v="1"/>
    <x v="0"/>
    <x v="4"/>
    <n v="122.95"/>
    <n v="0"/>
    <n v="491.8"/>
    <n v="101.2"/>
    <n v="18"/>
    <x v="1"/>
    <x v="3"/>
  </r>
  <r>
    <n v="100659"/>
    <x v="331"/>
    <s v="AD-5243-A"/>
    <x v="14"/>
    <x v="1"/>
    <x v="1"/>
    <x v="1"/>
    <x v="2"/>
    <n v="199.43"/>
    <n v="0"/>
    <n v="598.29"/>
    <n v="224.28"/>
    <n v="44"/>
    <x v="1"/>
    <x v="5"/>
  </r>
  <r>
    <n v="100463"/>
    <x v="479"/>
    <s v="AD-3879-A"/>
    <x v="13"/>
    <x v="0"/>
    <x v="1"/>
    <x v="0"/>
    <x v="2"/>
    <n v="117.99"/>
    <n v="0"/>
    <n v="353.97"/>
    <n v="116.32"/>
    <n v="27"/>
    <x v="1"/>
    <x v="1"/>
  </r>
  <r>
    <n v="100186"/>
    <x v="236"/>
    <s v="AD-6692-A"/>
    <x v="2"/>
    <x v="1"/>
    <x v="2"/>
    <x v="0"/>
    <x v="4"/>
    <n v="82.96"/>
    <n v="5"/>
    <n v="315.25"/>
    <n v="106.56"/>
    <n v="22"/>
    <x v="1"/>
    <x v="4"/>
  </r>
  <r>
    <n v="100608"/>
    <x v="652"/>
    <s v="AD-1917-C"/>
    <x v="3"/>
    <x v="2"/>
    <x v="1"/>
    <x v="0"/>
    <x v="1"/>
    <n v="18.899999999999999"/>
    <n v="0"/>
    <n v="37.799999999999997"/>
    <n v="11.84"/>
    <n v="22"/>
    <x v="0"/>
    <x v="2"/>
  </r>
  <r>
    <n v="100143"/>
    <x v="653"/>
    <s v="AD-6928-A"/>
    <x v="18"/>
    <x v="1"/>
    <x v="3"/>
    <x v="0"/>
    <x v="4"/>
    <n v="102.9"/>
    <n v="5"/>
    <n v="391.02"/>
    <n v="106.05"/>
    <n v="30"/>
    <x v="0"/>
    <x v="5"/>
  </r>
  <r>
    <n v="100751"/>
    <x v="654"/>
    <s v="AD-4844-C"/>
    <x v="4"/>
    <x v="2"/>
    <x v="1"/>
    <x v="0"/>
    <x v="3"/>
    <n v="60.95"/>
    <n v="5"/>
    <n v="57.9"/>
    <n v="23.88"/>
    <n v="28"/>
    <x v="0"/>
    <x v="6"/>
  </r>
  <r>
    <n v="100981"/>
    <x v="249"/>
    <s v="AD-2902-C"/>
    <x v="18"/>
    <x v="1"/>
    <x v="4"/>
    <x v="0"/>
    <x v="4"/>
    <n v="82.89"/>
    <n v="5"/>
    <n v="314.98"/>
    <n v="108.31"/>
    <n v="28"/>
    <x v="0"/>
    <x v="6"/>
  </r>
  <r>
    <n v="100197"/>
    <x v="655"/>
    <s v="AD-4960-D"/>
    <x v="11"/>
    <x v="0"/>
    <x v="4"/>
    <x v="0"/>
    <x v="4"/>
    <n v="32.51"/>
    <n v="0"/>
    <n v="130.04"/>
    <n v="35.06"/>
    <n v="37"/>
    <x v="0"/>
    <x v="4"/>
  </r>
  <r>
    <n v="100883"/>
    <x v="502"/>
    <s v="AD-2065-B"/>
    <x v="3"/>
    <x v="2"/>
    <x v="4"/>
    <x v="0"/>
    <x v="2"/>
    <n v="18.16"/>
    <n v="0"/>
    <n v="54.48"/>
    <n v="10.23"/>
    <n v="46"/>
    <x v="1"/>
    <x v="4"/>
  </r>
  <r>
    <n v="100279"/>
    <x v="58"/>
    <s v="AD-6890-A"/>
    <x v="12"/>
    <x v="0"/>
    <x v="2"/>
    <x v="2"/>
    <x v="1"/>
    <n v="133.16999999999999"/>
    <n v="0"/>
    <n v="266.33999999999997"/>
    <n v="62.03"/>
    <n v="35"/>
    <x v="1"/>
    <x v="7"/>
  </r>
  <r>
    <n v="100293"/>
    <x v="130"/>
    <s v="AD-8939-B"/>
    <x v="14"/>
    <x v="1"/>
    <x v="2"/>
    <x v="1"/>
    <x v="4"/>
    <n v="225.31"/>
    <n v="20"/>
    <n v="720.99"/>
    <n v="212.69"/>
    <n v="28"/>
    <x v="0"/>
    <x v="7"/>
  </r>
  <r>
    <n v="101088"/>
    <x v="617"/>
    <s v="AD-4917-B"/>
    <x v="0"/>
    <x v="0"/>
    <x v="2"/>
    <x v="0"/>
    <x v="1"/>
    <n v="56.29"/>
    <n v="5"/>
    <n v="106.95"/>
    <n v="34.26"/>
    <n v="22"/>
    <x v="0"/>
    <x v="2"/>
  </r>
  <r>
    <n v="100400"/>
    <x v="656"/>
    <s v="AD-3595-D"/>
    <x v="7"/>
    <x v="1"/>
    <x v="4"/>
    <x v="1"/>
    <x v="3"/>
    <n v="165.61"/>
    <n v="5"/>
    <n v="157.33000000000001"/>
    <n v="47.35"/>
    <n v="28"/>
    <x v="1"/>
    <x v="3"/>
  </r>
  <r>
    <n v="100122"/>
    <x v="30"/>
    <s v="AD-9850-C"/>
    <x v="14"/>
    <x v="1"/>
    <x v="0"/>
    <x v="0"/>
    <x v="1"/>
    <n v="215.43"/>
    <n v="0"/>
    <n v="430.86"/>
    <n v="96.88"/>
    <n v="16"/>
    <x v="2"/>
    <x v="3"/>
  </r>
  <r>
    <n v="100202"/>
    <x v="657"/>
    <s v="AD-6939-C"/>
    <x v="1"/>
    <x v="0"/>
    <x v="0"/>
    <x v="0"/>
    <x v="2"/>
    <n v="25.75"/>
    <n v="0"/>
    <n v="77.25"/>
    <n v="21.23"/>
    <n v="26"/>
    <x v="1"/>
    <x v="6"/>
  </r>
  <r>
    <n v="100835"/>
    <x v="658"/>
    <s v="AD-9919-D"/>
    <x v="1"/>
    <x v="0"/>
    <x v="0"/>
    <x v="0"/>
    <x v="3"/>
    <n v="26.32"/>
    <n v="0"/>
    <n v="26.32"/>
    <n v="8.5500000000000007"/>
    <n v="41"/>
    <x v="1"/>
    <x v="6"/>
  </r>
  <r>
    <n v="100246"/>
    <x v="659"/>
    <s v="AD-7179-A"/>
    <x v="3"/>
    <x v="2"/>
    <x v="4"/>
    <x v="1"/>
    <x v="1"/>
    <n v="18.82"/>
    <n v="0"/>
    <n v="37.64"/>
    <n v="14"/>
    <n v="20"/>
    <x v="1"/>
    <x v="0"/>
  </r>
  <r>
    <n v="101139"/>
    <x v="642"/>
    <s v="AD-6196-C"/>
    <x v="6"/>
    <x v="1"/>
    <x v="4"/>
    <x v="2"/>
    <x v="4"/>
    <n v="173.14"/>
    <n v="10"/>
    <n v="623.29999999999995"/>
    <n v="146.57"/>
    <n v="24"/>
    <x v="0"/>
    <x v="0"/>
  </r>
  <r>
    <n v="100384"/>
    <x v="169"/>
    <s v="AD-4963-C"/>
    <x v="11"/>
    <x v="0"/>
    <x v="1"/>
    <x v="1"/>
    <x v="3"/>
    <n v="28.03"/>
    <n v="0"/>
    <n v="28.03"/>
    <n v="9.73"/>
    <n v="24"/>
    <x v="1"/>
    <x v="7"/>
  </r>
  <r>
    <n v="100854"/>
    <x v="459"/>
    <s v="AD-9235-A"/>
    <x v="19"/>
    <x v="1"/>
    <x v="0"/>
    <x v="3"/>
    <x v="2"/>
    <n v="132.88999999999999"/>
    <n v="0"/>
    <n v="398.67"/>
    <n v="113.52"/>
    <n v="22"/>
    <x v="1"/>
    <x v="5"/>
  </r>
  <r>
    <n v="100219"/>
    <x v="660"/>
    <s v="AD-4804-A"/>
    <x v="16"/>
    <x v="1"/>
    <x v="4"/>
    <x v="0"/>
    <x v="2"/>
    <n v="37.83"/>
    <n v="0"/>
    <n v="113.49"/>
    <n v="34.380000000000003"/>
    <n v="39"/>
    <x v="1"/>
    <x v="1"/>
  </r>
  <r>
    <n v="100641"/>
    <x v="261"/>
    <s v="AD-9834-C"/>
    <x v="19"/>
    <x v="1"/>
    <x v="1"/>
    <x v="1"/>
    <x v="0"/>
    <n v="129.19999999999999"/>
    <n v="10"/>
    <n v="581.4"/>
    <n v="211.31"/>
    <n v="31"/>
    <x v="0"/>
    <x v="1"/>
  </r>
  <r>
    <n v="100001"/>
    <x v="553"/>
    <s v="AD-4611-D"/>
    <x v="2"/>
    <x v="1"/>
    <x v="1"/>
    <x v="0"/>
    <x v="1"/>
    <n v="102.68"/>
    <n v="20"/>
    <n v="164.29"/>
    <n v="44.52"/>
    <n v="25"/>
    <x v="1"/>
    <x v="2"/>
  </r>
  <r>
    <n v="100112"/>
    <x v="182"/>
    <s v="AD-2233-B"/>
    <x v="9"/>
    <x v="2"/>
    <x v="4"/>
    <x v="2"/>
    <x v="4"/>
    <n v="20.440000000000001"/>
    <n v="0"/>
    <n v="81.760000000000005"/>
    <n v="28.62"/>
    <n v="34"/>
    <x v="0"/>
    <x v="5"/>
  </r>
  <r>
    <n v="100698"/>
    <x v="126"/>
    <s v="AD-8966-A"/>
    <x v="1"/>
    <x v="0"/>
    <x v="1"/>
    <x v="0"/>
    <x v="1"/>
    <n v="25.64"/>
    <n v="0"/>
    <n v="51.28"/>
    <n v="14.88"/>
    <n v="16"/>
    <x v="1"/>
    <x v="5"/>
  </r>
  <r>
    <n v="100951"/>
    <x v="114"/>
    <s v="AD-1324-D"/>
    <x v="9"/>
    <x v="2"/>
    <x v="1"/>
    <x v="1"/>
    <x v="3"/>
    <n v="22.24"/>
    <n v="5"/>
    <n v="21.13"/>
    <n v="4.41"/>
    <n v="31"/>
    <x v="0"/>
    <x v="5"/>
  </r>
  <r>
    <n v="101078"/>
    <x v="282"/>
    <s v="AD-7560-A"/>
    <x v="7"/>
    <x v="1"/>
    <x v="4"/>
    <x v="0"/>
    <x v="1"/>
    <n v="130.94999999999999"/>
    <n v="40"/>
    <n v="157.13999999999999"/>
    <n v="45.5"/>
    <n v="16"/>
    <x v="0"/>
    <x v="6"/>
  </r>
  <r>
    <n v="100441"/>
    <x v="394"/>
    <s v="AD-7025-B"/>
    <x v="1"/>
    <x v="0"/>
    <x v="2"/>
    <x v="2"/>
    <x v="4"/>
    <n v="22.98"/>
    <n v="20"/>
    <n v="73.540000000000006"/>
    <n v="25.5"/>
    <n v="45"/>
    <x v="1"/>
    <x v="6"/>
  </r>
  <r>
    <n v="100663"/>
    <x v="661"/>
    <s v="AD-7563-A"/>
    <x v="9"/>
    <x v="2"/>
    <x v="1"/>
    <x v="3"/>
    <x v="2"/>
    <n v="19.239999999999998"/>
    <n v="10"/>
    <n v="51.95"/>
    <n v="17.14"/>
    <n v="28"/>
    <x v="1"/>
    <x v="0"/>
  </r>
  <r>
    <n v="101196"/>
    <x v="506"/>
    <s v="AD-9046-D"/>
    <x v="3"/>
    <x v="2"/>
    <x v="3"/>
    <x v="1"/>
    <x v="2"/>
    <n v="19.61"/>
    <n v="5"/>
    <n v="55.89"/>
    <n v="23.43"/>
    <n v="46"/>
    <x v="1"/>
    <x v="0"/>
  </r>
  <r>
    <n v="100317"/>
    <x v="273"/>
    <s v="AD-6185-B"/>
    <x v="5"/>
    <x v="0"/>
    <x v="0"/>
    <x v="1"/>
    <x v="3"/>
    <n v="73.06"/>
    <n v="5"/>
    <n v="69.41"/>
    <n v="17.079999999999998"/>
    <n v="26"/>
    <x v="0"/>
    <x v="4"/>
  </r>
  <r>
    <n v="100648"/>
    <x v="339"/>
    <s v="AD-4454-C"/>
    <x v="9"/>
    <x v="2"/>
    <x v="1"/>
    <x v="0"/>
    <x v="1"/>
    <n v="22.28"/>
    <n v="0"/>
    <n v="44.56"/>
    <n v="17.899999999999999"/>
    <n v="31"/>
    <x v="0"/>
    <x v="3"/>
  </r>
  <r>
    <n v="100709"/>
    <x v="354"/>
    <s v="AD-3409-D"/>
    <x v="8"/>
    <x v="2"/>
    <x v="1"/>
    <x v="1"/>
    <x v="0"/>
    <n v="15.08"/>
    <n v="0"/>
    <n v="75.400000000000006"/>
    <n v="19.64"/>
    <n v="21"/>
    <x v="1"/>
    <x v="0"/>
  </r>
  <r>
    <n v="100972"/>
    <x v="539"/>
    <s v="AD-1272-C"/>
    <x v="9"/>
    <x v="2"/>
    <x v="0"/>
    <x v="0"/>
    <x v="2"/>
    <n v="22.45"/>
    <n v="0"/>
    <n v="67.349999999999994"/>
    <n v="19.29"/>
    <n v="34"/>
    <x v="0"/>
    <x v="4"/>
  </r>
  <r>
    <n v="100627"/>
    <x v="662"/>
    <s v="AD-3835-A"/>
    <x v="17"/>
    <x v="2"/>
    <x v="3"/>
    <x v="1"/>
    <x v="1"/>
    <n v="40.25"/>
    <n v="5"/>
    <n v="76.47"/>
    <n v="25.66"/>
    <n v="16"/>
    <x v="1"/>
    <x v="6"/>
  </r>
  <r>
    <n v="100632"/>
    <x v="663"/>
    <s v="AD-3089-C"/>
    <x v="4"/>
    <x v="2"/>
    <x v="2"/>
    <x v="3"/>
    <x v="4"/>
    <n v="61.02"/>
    <n v="0"/>
    <n v="244.08"/>
    <n v="98.09"/>
    <n v="36"/>
    <x v="0"/>
    <x v="2"/>
  </r>
  <r>
    <n v="101171"/>
    <x v="664"/>
    <s v="AD-5641-B"/>
    <x v="6"/>
    <x v="1"/>
    <x v="0"/>
    <x v="0"/>
    <x v="2"/>
    <n v="173.57"/>
    <n v="5"/>
    <n v="494.67"/>
    <n v="161.69"/>
    <n v="35"/>
    <x v="1"/>
    <x v="4"/>
  </r>
  <r>
    <n v="101106"/>
    <x v="665"/>
    <s v="AD-7066-C"/>
    <x v="12"/>
    <x v="0"/>
    <x v="4"/>
    <x v="0"/>
    <x v="1"/>
    <n v="139.21"/>
    <n v="20"/>
    <n v="222.74"/>
    <n v="28.66"/>
    <n v="28"/>
    <x v="0"/>
    <x v="7"/>
  </r>
  <r>
    <n v="100795"/>
    <x v="412"/>
    <s v="AD-1067-B"/>
    <x v="0"/>
    <x v="0"/>
    <x v="4"/>
    <x v="1"/>
    <x v="1"/>
    <n v="48.21"/>
    <n v="20"/>
    <n v="77.14"/>
    <n v="22.36"/>
    <n v="47"/>
    <x v="1"/>
    <x v="6"/>
  </r>
  <r>
    <n v="100645"/>
    <x v="666"/>
    <s v="AD-5509-C"/>
    <x v="14"/>
    <x v="1"/>
    <x v="2"/>
    <x v="0"/>
    <x v="1"/>
    <n v="216.3"/>
    <n v="0"/>
    <n v="432.6"/>
    <n v="118.14"/>
    <n v="28"/>
    <x v="1"/>
    <x v="0"/>
  </r>
  <r>
    <n v="101012"/>
    <x v="140"/>
    <s v="AD-8812-B"/>
    <x v="13"/>
    <x v="0"/>
    <x v="1"/>
    <x v="0"/>
    <x v="3"/>
    <n v="120.04"/>
    <n v="0"/>
    <n v="120.04"/>
    <n v="37.880000000000003"/>
    <n v="17"/>
    <x v="0"/>
    <x v="2"/>
  </r>
  <r>
    <n v="100556"/>
    <x v="667"/>
    <s v="AD-2505-D"/>
    <x v="14"/>
    <x v="1"/>
    <x v="1"/>
    <x v="1"/>
    <x v="6"/>
    <n v="242.24"/>
    <n v="10"/>
    <n v="1526.11"/>
    <n v="393.25"/>
    <n v="33"/>
    <x v="1"/>
    <x v="0"/>
  </r>
  <r>
    <n v="100681"/>
    <x v="610"/>
    <s v="AD-2160-B"/>
    <x v="15"/>
    <x v="1"/>
    <x v="4"/>
    <x v="1"/>
    <x v="4"/>
    <n v="140.09"/>
    <n v="0"/>
    <n v="560.36"/>
    <n v="172.6"/>
    <n v="47"/>
    <x v="1"/>
    <x v="1"/>
  </r>
  <r>
    <n v="100577"/>
    <x v="668"/>
    <s v="AD-4387-B"/>
    <x v="14"/>
    <x v="1"/>
    <x v="1"/>
    <x v="1"/>
    <x v="0"/>
    <n v="207.82"/>
    <n v="5"/>
    <n v="987.14"/>
    <n v="261.25"/>
    <n v="36"/>
    <x v="1"/>
    <x v="3"/>
  </r>
  <r>
    <n v="100524"/>
    <x v="323"/>
    <s v="AD-6634-C"/>
    <x v="1"/>
    <x v="0"/>
    <x v="4"/>
    <x v="1"/>
    <x v="1"/>
    <n v="25.7"/>
    <n v="20"/>
    <n v="41.12"/>
    <n v="9.0399999999999991"/>
    <n v="29"/>
    <x v="0"/>
    <x v="3"/>
  </r>
  <r>
    <n v="101059"/>
    <x v="362"/>
    <s v="AD-1729-A"/>
    <x v="14"/>
    <x v="1"/>
    <x v="1"/>
    <x v="0"/>
    <x v="4"/>
    <n v="203.77"/>
    <n v="20"/>
    <n v="652.05999999999995"/>
    <n v="179.72"/>
    <n v="18"/>
    <x v="1"/>
    <x v="7"/>
  </r>
  <r>
    <n v="100540"/>
    <x v="481"/>
    <s v="AD-4109-B"/>
    <x v="14"/>
    <x v="1"/>
    <x v="4"/>
    <x v="1"/>
    <x v="2"/>
    <n v="233.52"/>
    <n v="40"/>
    <n v="420.34"/>
    <n v="130.63"/>
    <n v="30"/>
    <x v="0"/>
    <x v="5"/>
  </r>
  <r>
    <n v="100748"/>
    <x v="619"/>
    <s v="AD-9037-D"/>
    <x v="7"/>
    <x v="1"/>
    <x v="4"/>
    <x v="1"/>
    <x v="4"/>
    <n v="148.94999999999999"/>
    <n v="5"/>
    <n v="566.01"/>
    <n v="168.92"/>
    <n v="16"/>
    <x v="1"/>
    <x v="1"/>
  </r>
  <r>
    <n v="101109"/>
    <x v="606"/>
    <s v="AD-5640-A"/>
    <x v="7"/>
    <x v="1"/>
    <x v="4"/>
    <x v="0"/>
    <x v="2"/>
    <n v="146.69"/>
    <n v="0"/>
    <n v="440.07"/>
    <n v="146.22999999999999"/>
    <n v="21"/>
    <x v="1"/>
    <x v="2"/>
  </r>
  <r>
    <n v="100484"/>
    <x v="669"/>
    <s v="AD-7698-C"/>
    <x v="6"/>
    <x v="1"/>
    <x v="4"/>
    <x v="0"/>
    <x v="2"/>
    <n v="184.81"/>
    <n v="0"/>
    <n v="554.42999999999995"/>
    <n v="158.08000000000001"/>
    <n v="39"/>
    <x v="0"/>
    <x v="4"/>
  </r>
  <r>
    <n v="100095"/>
    <x v="670"/>
    <s v="AD-9022-B"/>
    <x v="4"/>
    <x v="2"/>
    <x v="0"/>
    <x v="0"/>
    <x v="4"/>
    <n v="64.37"/>
    <n v="5"/>
    <n v="244.61"/>
    <n v="121.38"/>
    <n v="38"/>
    <x v="1"/>
    <x v="0"/>
  </r>
  <r>
    <n v="101020"/>
    <x v="671"/>
    <s v="AD-1834-D"/>
    <x v="10"/>
    <x v="2"/>
    <x v="4"/>
    <x v="0"/>
    <x v="3"/>
    <n v="47.45"/>
    <n v="0"/>
    <n v="47.45"/>
    <n v="15.2"/>
    <n v="32"/>
    <x v="1"/>
    <x v="4"/>
  </r>
  <r>
    <n v="100563"/>
    <x v="672"/>
    <s v="AD-9589-B"/>
    <x v="14"/>
    <x v="1"/>
    <x v="1"/>
    <x v="0"/>
    <x v="2"/>
    <n v="227.63"/>
    <n v="0"/>
    <n v="682.89"/>
    <n v="184.94"/>
    <n v="38"/>
    <x v="1"/>
    <x v="6"/>
  </r>
  <r>
    <n v="100742"/>
    <x v="673"/>
    <s v="AD-8795-D"/>
    <x v="17"/>
    <x v="2"/>
    <x v="0"/>
    <x v="2"/>
    <x v="5"/>
    <n v="44.67"/>
    <n v="0"/>
    <n v="268.02"/>
    <n v="60.38"/>
    <n v="38"/>
    <x v="0"/>
    <x v="4"/>
  </r>
  <r>
    <n v="100863"/>
    <x v="674"/>
    <s v="AD-1684-A"/>
    <x v="7"/>
    <x v="1"/>
    <x v="1"/>
    <x v="0"/>
    <x v="1"/>
    <n v="176.79"/>
    <n v="0"/>
    <n v="353.58"/>
    <n v="99.97"/>
    <n v="33"/>
    <x v="0"/>
    <x v="5"/>
  </r>
  <r>
    <n v="100891"/>
    <x v="675"/>
    <s v="AD-2120-C"/>
    <x v="8"/>
    <x v="2"/>
    <x v="1"/>
    <x v="0"/>
    <x v="3"/>
    <n v="16.23"/>
    <n v="0"/>
    <n v="16.23"/>
    <n v="4.01"/>
    <n v="27"/>
    <x v="1"/>
    <x v="6"/>
  </r>
  <r>
    <n v="101038"/>
    <x v="676"/>
    <s v="AD-6476-C"/>
    <x v="1"/>
    <x v="0"/>
    <x v="4"/>
    <x v="0"/>
    <x v="2"/>
    <n v="22.33"/>
    <n v="0"/>
    <n v="66.989999999999995"/>
    <n v="27.34"/>
    <n v="46"/>
    <x v="0"/>
    <x v="4"/>
  </r>
  <r>
    <n v="100206"/>
    <x v="677"/>
    <s v="AD-9311-D"/>
    <x v="19"/>
    <x v="1"/>
    <x v="1"/>
    <x v="1"/>
    <x v="4"/>
    <n v="142.63"/>
    <n v="5"/>
    <n v="541.99"/>
    <n v="160.16999999999999"/>
    <n v="27"/>
    <x v="0"/>
    <x v="4"/>
  </r>
  <r>
    <n v="100392"/>
    <x v="678"/>
    <s v="AD-3292-A"/>
    <x v="5"/>
    <x v="0"/>
    <x v="0"/>
    <x v="2"/>
    <x v="2"/>
    <n v="71.83"/>
    <n v="0"/>
    <n v="215.49"/>
    <n v="64.22"/>
    <n v="27"/>
    <x v="0"/>
    <x v="4"/>
  </r>
  <r>
    <n v="100794"/>
    <x v="679"/>
    <s v="AD-6727-A"/>
    <x v="8"/>
    <x v="2"/>
    <x v="1"/>
    <x v="2"/>
    <x v="4"/>
    <n v="16.739999999999998"/>
    <n v="5"/>
    <n v="63.61"/>
    <n v="20.64"/>
    <n v="30"/>
    <x v="0"/>
    <x v="1"/>
  </r>
  <r>
    <n v="100870"/>
    <x v="680"/>
    <s v="AD-6783-D"/>
    <x v="2"/>
    <x v="1"/>
    <x v="2"/>
    <x v="2"/>
    <x v="2"/>
    <n v="108.29"/>
    <n v="0"/>
    <n v="324.87"/>
    <n v="91.11"/>
    <n v="17"/>
    <x v="1"/>
    <x v="1"/>
  </r>
  <r>
    <n v="100397"/>
    <x v="681"/>
    <s v="AD-8736-B"/>
    <x v="17"/>
    <x v="2"/>
    <x v="2"/>
    <x v="1"/>
    <x v="3"/>
    <n v="36.369999999999997"/>
    <n v="5"/>
    <n v="34.549999999999997"/>
    <n v="10.85"/>
    <n v="22"/>
    <x v="0"/>
    <x v="1"/>
  </r>
  <r>
    <n v="100766"/>
    <x v="682"/>
    <s v="AD-9133-A"/>
    <x v="10"/>
    <x v="2"/>
    <x v="1"/>
    <x v="2"/>
    <x v="1"/>
    <n v="47.14"/>
    <n v="0"/>
    <n v="94.28"/>
    <n v="27.22"/>
    <n v="17"/>
    <x v="0"/>
    <x v="0"/>
  </r>
  <r>
    <n v="101099"/>
    <x v="554"/>
    <s v="AD-7929-C"/>
    <x v="11"/>
    <x v="0"/>
    <x v="3"/>
    <x v="0"/>
    <x v="1"/>
    <n v="29.57"/>
    <n v="0"/>
    <n v="59.14"/>
    <n v="16"/>
    <n v="31"/>
    <x v="1"/>
    <x v="7"/>
  </r>
  <r>
    <n v="101028"/>
    <x v="395"/>
    <s v="AD-8852-C"/>
    <x v="15"/>
    <x v="1"/>
    <x v="1"/>
    <x v="0"/>
    <x v="2"/>
    <n v="145.07"/>
    <n v="10"/>
    <n v="391.69"/>
    <n v="137.51"/>
    <n v="24"/>
    <x v="1"/>
    <x v="6"/>
  </r>
  <r>
    <n v="100642"/>
    <x v="683"/>
    <s v="AD-6431-D"/>
    <x v="15"/>
    <x v="1"/>
    <x v="1"/>
    <x v="0"/>
    <x v="4"/>
    <n v="164.89"/>
    <n v="0"/>
    <n v="659.56"/>
    <n v="216.79"/>
    <n v="19"/>
    <x v="1"/>
    <x v="5"/>
  </r>
  <r>
    <n v="100612"/>
    <x v="637"/>
    <s v="AD-2517-D"/>
    <x v="0"/>
    <x v="0"/>
    <x v="1"/>
    <x v="0"/>
    <x v="1"/>
    <n v="61.75"/>
    <n v="20"/>
    <n v="98.8"/>
    <n v="23.77"/>
    <n v="19"/>
    <x v="0"/>
    <x v="6"/>
  </r>
  <r>
    <n v="100960"/>
    <x v="165"/>
    <s v="AD-7993-C"/>
    <x v="17"/>
    <x v="2"/>
    <x v="4"/>
    <x v="2"/>
    <x v="1"/>
    <n v="42.21"/>
    <n v="0"/>
    <n v="84.42"/>
    <n v="23.82"/>
    <n v="27"/>
    <x v="0"/>
    <x v="3"/>
  </r>
  <r>
    <n v="100725"/>
    <x v="684"/>
    <s v="AD-7111-D"/>
    <x v="11"/>
    <x v="0"/>
    <x v="0"/>
    <x v="2"/>
    <x v="0"/>
    <n v="26.46"/>
    <n v="10"/>
    <n v="119.07"/>
    <n v="31.62"/>
    <n v="16"/>
    <x v="1"/>
    <x v="0"/>
  </r>
  <r>
    <n v="100683"/>
    <x v="685"/>
    <s v="AD-2204-D"/>
    <x v="5"/>
    <x v="0"/>
    <x v="0"/>
    <x v="2"/>
    <x v="0"/>
    <n v="71.91"/>
    <n v="10"/>
    <n v="323.58999999999997"/>
    <n v="110.59"/>
    <n v="36"/>
    <x v="1"/>
    <x v="6"/>
  </r>
  <r>
    <n v="100098"/>
    <x v="686"/>
    <s v="AD-2633-D"/>
    <x v="15"/>
    <x v="1"/>
    <x v="3"/>
    <x v="0"/>
    <x v="1"/>
    <n v="145.66"/>
    <n v="10"/>
    <n v="262.19"/>
    <n v="75.53"/>
    <n v="26"/>
    <x v="1"/>
    <x v="5"/>
  </r>
  <r>
    <n v="100804"/>
    <x v="12"/>
    <s v="AD-9115-A"/>
    <x v="15"/>
    <x v="1"/>
    <x v="3"/>
    <x v="1"/>
    <x v="1"/>
    <n v="144.69"/>
    <n v="0"/>
    <n v="289.38"/>
    <n v="81.88"/>
    <n v="25"/>
    <x v="0"/>
    <x v="3"/>
  </r>
  <r>
    <n v="100406"/>
    <x v="687"/>
    <s v="AD-7147-C"/>
    <x v="14"/>
    <x v="1"/>
    <x v="4"/>
    <x v="1"/>
    <x v="1"/>
    <n v="216.38"/>
    <n v="20"/>
    <n v="346.21"/>
    <n v="92.61"/>
    <n v="32"/>
    <x v="1"/>
    <x v="7"/>
  </r>
  <r>
    <n v="100502"/>
    <x v="688"/>
    <s v="AD-9871-A"/>
    <x v="18"/>
    <x v="1"/>
    <x v="4"/>
    <x v="3"/>
    <x v="0"/>
    <n v="89.56"/>
    <n v="10"/>
    <n v="403.02"/>
    <n v="115.02"/>
    <n v="36"/>
    <x v="1"/>
    <x v="7"/>
  </r>
  <r>
    <n v="101071"/>
    <x v="689"/>
    <s v="AD-3361-D"/>
    <x v="11"/>
    <x v="0"/>
    <x v="2"/>
    <x v="1"/>
    <x v="3"/>
    <n v="30.18"/>
    <n v="5"/>
    <n v="28.67"/>
    <n v="7.28"/>
    <n v="43"/>
    <x v="1"/>
    <x v="5"/>
  </r>
  <r>
    <n v="101056"/>
    <x v="690"/>
    <s v="AD-3165-B"/>
    <x v="6"/>
    <x v="1"/>
    <x v="1"/>
    <x v="0"/>
    <x v="2"/>
    <n v="139.19999999999999"/>
    <n v="0"/>
    <n v="417.6"/>
    <n v="153.66"/>
    <n v="44"/>
    <x v="0"/>
    <x v="7"/>
  </r>
  <r>
    <n v="100929"/>
    <x v="351"/>
    <s v="AD-6359-D"/>
    <x v="12"/>
    <x v="0"/>
    <x v="1"/>
    <x v="0"/>
    <x v="4"/>
    <n v="142.22"/>
    <n v="0"/>
    <n v="568.88"/>
    <n v="177.14"/>
    <n v="28"/>
    <x v="1"/>
    <x v="3"/>
  </r>
  <r>
    <n v="100779"/>
    <x v="134"/>
    <s v="AD-1339-A"/>
    <x v="4"/>
    <x v="2"/>
    <x v="1"/>
    <x v="0"/>
    <x v="2"/>
    <n v="56.54"/>
    <n v="5"/>
    <n v="161.13999999999999"/>
    <n v="47.71"/>
    <n v="22"/>
    <x v="0"/>
    <x v="6"/>
  </r>
  <r>
    <n v="100200"/>
    <x v="218"/>
    <s v="AD-1797-A"/>
    <x v="6"/>
    <x v="1"/>
    <x v="1"/>
    <x v="1"/>
    <x v="4"/>
    <n v="172.08"/>
    <n v="10"/>
    <n v="619.49"/>
    <n v="165.04"/>
    <n v="34"/>
    <x v="1"/>
    <x v="4"/>
  </r>
  <r>
    <n v="100134"/>
    <x v="151"/>
    <s v="AD-5381-A"/>
    <x v="8"/>
    <x v="2"/>
    <x v="0"/>
    <x v="1"/>
    <x v="2"/>
    <n v="15.91"/>
    <n v="0"/>
    <n v="47.73"/>
    <n v="11.03"/>
    <n v="31"/>
    <x v="0"/>
    <x v="7"/>
  </r>
  <r>
    <n v="101051"/>
    <x v="175"/>
    <s v="AD-7258-C"/>
    <x v="1"/>
    <x v="0"/>
    <x v="3"/>
    <x v="1"/>
    <x v="2"/>
    <n v="25.19"/>
    <n v="20"/>
    <n v="60.46"/>
    <n v="13.53"/>
    <n v="20"/>
    <x v="0"/>
    <x v="1"/>
  </r>
  <r>
    <n v="100040"/>
    <x v="488"/>
    <s v="AD-6378-C"/>
    <x v="0"/>
    <x v="0"/>
    <x v="2"/>
    <x v="0"/>
    <x v="2"/>
    <n v="54.83"/>
    <n v="0"/>
    <n v="164.49"/>
    <n v="40.78"/>
    <n v="26"/>
    <x v="0"/>
    <x v="2"/>
  </r>
  <r>
    <n v="101017"/>
    <x v="134"/>
    <s v="AD-9334-B"/>
    <x v="0"/>
    <x v="0"/>
    <x v="1"/>
    <x v="2"/>
    <x v="1"/>
    <n v="53.14"/>
    <n v="0"/>
    <n v="106.28"/>
    <n v="21.38"/>
    <n v="36"/>
    <x v="0"/>
    <x v="2"/>
  </r>
  <r>
    <n v="100230"/>
    <x v="155"/>
    <s v="AD-9792-B"/>
    <x v="11"/>
    <x v="0"/>
    <x v="0"/>
    <x v="0"/>
    <x v="1"/>
    <n v="29.29"/>
    <n v="10"/>
    <n v="52.72"/>
    <n v="18.71"/>
    <n v="23"/>
    <x v="1"/>
    <x v="6"/>
  </r>
  <r>
    <n v="100378"/>
    <x v="281"/>
    <s v="AD-4892-A"/>
    <x v="12"/>
    <x v="0"/>
    <x v="0"/>
    <x v="1"/>
    <x v="4"/>
    <n v="128.82"/>
    <n v="10"/>
    <n v="463.75"/>
    <n v="108.61"/>
    <n v="27"/>
    <x v="1"/>
    <x v="4"/>
  </r>
  <r>
    <n v="100288"/>
    <x v="45"/>
    <s v="AD-8496-A"/>
    <x v="2"/>
    <x v="1"/>
    <x v="0"/>
    <x v="1"/>
    <x v="4"/>
    <n v="96.44"/>
    <n v="0"/>
    <n v="385.76"/>
    <n v="126.85"/>
    <n v="39"/>
    <x v="1"/>
    <x v="6"/>
  </r>
  <r>
    <n v="100418"/>
    <x v="689"/>
    <s v="AD-1472-B"/>
    <x v="17"/>
    <x v="2"/>
    <x v="0"/>
    <x v="0"/>
    <x v="1"/>
    <n v="42.82"/>
    <n v="5"/>
    <n v="81.36"/>
    <n v="24.27"/>
    <n v="26"/>
    <x v="0"/>
    <x v="4"/>
  </r>
  <r>
    <n v="100391"/>
    <x v="478"/>
    <s v="AD-4086-B"/>
    <x v="13"/>
    <x v="0"/>
    <x v="4"/>
    <x v="1"/>
    <x v="2"/>
    <n v="117.99"/>
    <n v="0"/>
    <n v="353.97"/>
    <n v="89.49"/>
    <n v="41"/>
    <x v="0"/>
    <x v="0"/>
  </r>
  <r>
    <n v="100592"/>
    <x v="380"/>
    <s v="AD-3930-A"/>
    <x v="7"/>
    <x v="1"/>
    <x v="0"/>
    <x v="1"/>
    <x v="1"/>
    <n v="145.22"/>
    <n v="0"/>
    <n v="290.44"/>
    <n v="61.69"/>
    <n v="29"/>
    <x v="1"/>
    <x v="3"/>
  </r>
  <r>
    <n v="101086"/>
    <x v="660"/>
    <s v="AD-2528-B"/>
    <x v="17"/>
    <x v="2"/>
    <x v="4"/>
    <x v="0"/>
    <x v="0"/>
    <n v="41.63"/>
    <n v="0"/>
    <n v="208.15"/>
    <n v="59.23"/>
    <n v="45"/>
    <x v="0"/>
    <x v="1"/>
  </r>
  <r>
    <n v="100647"/>
    <x v="647"/>
    <s v="AD-3376-B"/>
    <x v="5"/>
    <x v="0"/>
    <x v="0"/>
    <x v="2"/>
    <x v="3"/>
    <n v="70.05"/>
    <n v="5"/>
    <n v="66.55"/>
    <n v="25.41"/>
    <n v="45"/>
    <x v="1"/>
    <x v="1"/>
  </r>
  <r>
    <n v="100520"/>
    <x v="2"/>
    <s v="AD-8260-B"/>
    <x v="14"/>
    <x v="1"/>
    <x v="3"/>
    <x v="0"/>
    <x v="1"/>
    <n v="209.22"/>
    <n v="10"/>
    <n v="376.6"/>
    <n v="132.79"/>
    <n v="26"/>
    <x v="1"/>
    <x v="0"/>
  </r>
  <r>
    <n v="100064"/>
    <x v="691"/>
    <s v="AD-4249-A"/>
    <x v="17"/>
    <x v="2"/>
    <x v="1"/>
    <x v="1"/>
    <x v="3"/>
    <n v="38.49"/>
    <n v="10"/>
    <n v="34.64"/>
    <n v="11.99"/>
    <n v="39"/>
    <x v="0"/>
    <x v="2"/>
  </r>
  <r>
    <n v="100014"/>
    <x v="692"/>
    <s v="AD-6038-B"/>
    <x v="10"/>
    <x v="2"/>
    <x v="0"/>
    <x v="1"/>
    <x v="2"/>
    <n v="50.38"/>
    <n v="0"/>
    <n v="151.13999999999999"/>
    <n v="53.45"/>
    <n v="30"/>
    <x v="1"/>
    <x v="4"/>
  </r>
  <r>
    <n v="101064"/>
    <x v="693"/>
    <s v="AD-7047-C"/>
    <x v="0"/>
    <x v="0"/>
    <x v="4"/>
    <x v="2"/>
    <x v="1"/>
    <n v="54.07"/>
    <n v="0"/>
    <n v="108.14"/>
    <n v="39.520000000000003"/>
    <n v="20"/>
    <x v="1"/>
    <x v="5"/>
  </r>
  <r>
    <n v="100492"/>
    <x v="694"/>
    <s v="AD-4919-A"/>
    <x v="19"/>
    <x v="1"/>
    <x v="0"/>
    <x v="1"/>
    <x v="2"/>
    <n v="122.51"/>
    <n v="0"/>
    <n v="367.53"/>
    <n v="119.98"/>
    <n v="31"/>
    <x v="0"/>
    <x v="4"/>
  </r>
  <r>
    <n v="100379"/>
    <x v="351"/>
    <s v="AD-6094-C"/>
    <x v="9"/>
    <x v="2"/>
    <x v="2"/>
    <x v="0"/>
    <x v="1"/>
    <n v="23.11"/>
    <n v="0"/>
    <n v="46.22"/>
    <n v="15.51"/>
    <n v="30"/>
    <x v="0"/>
    <x v="0"/>
  </r>
  <r>
    <n v="100187"/>
    <x v="19"/>
    <s v="AD-6922-B"/>
    <x v="8"/>
    <x v="2"/>
    <x v="4"/>
    <x v="0"/>
    <x v="2"/>
    <n v="14.94"/>
    <n v="5"/>
    <n v="42.58"/>
    <n v="21.21"/>
    <n v="29"/>
    <x v="0"/>
    <x v="3"/>
  </r>
  <r>
    <n v="100763"/>
    <x v="398"/>
    <s v="AD-3883-A"/>
    <x v="15"/>
    <x v="1"/>
    <x v="4"/>
    <x v="0"/>
    <x v="3"/>
    <n v="150.6"/>
    <n v="20"/>
    <n v="120.48"/>
    <n v="44.04"/>
    <n v="28"/>
    <x v="0"/>
    <x v="0"/>
  </r>
  <r>
    <n v="100216"/>
    <x v="162"/>
    <s v="AD-5450-B"/>
    <x v="3"/>
    <x v="2"/>
    <x v="0"/>
    <x v="0"/>
    <x v="4"/>
    <n v="18.86"/>
    <n v="0"/>
    <n v="75.44"/>
    <n v="28.6"/>
    <n v="28"/>
    <x v="0"/>
    <x v="0"/>
  </r>
  <r>
    <n v="100791"/>
    <x v="695"/>
    <s v="AD-6169-D"/>
    <x v="1"/>
    <x v="0"/>
    <x v="0"/>
    <x v="0"/>
    <x v="4"/>
    <n v="26.69"/>
    <n v="0"/>
    <n v="106.76"/>
    <n v="21.1"/>
    <n v="34"/>
    <x v="1"/>
    <x v="3"/>
  </r>
  <r>
    <n v="101076"/>
    <x v="696"/>
    <s v="AD-1178-D"/>
    <x v="18"/>
    <x v="1"/>
    <x v="2"/>
    <x v="0"/>
    <x v="4"/>
    <n v="85.14"/>
    <n v="20"/>
    <n v="272.45"/>
    <n v="61.77"/>
    <n v="26"/>
    <x v="0"/>
    <x v="3"/>
  </r>
  <r>
    <n v="100878"/>
    <x v="98"/>
    <s v="AD-4678-A"/>
    <x v="4"/>
    <x v="2"/>
    <x v="0"/>
    <x v="1"/>
    <x v="1"/>
    <n v="58.59"/>
    <n v="40"/>
    <n v="70.31"/>
    <n v="24.54"/>
    <n v="26"/>
    <x v="1"/>
    <x v="7"/>
  </r>
  <r>
    <n v="100337"/>
    <x v="214"/>
    <s v="AD-2731-B"/>
    <x v="5"/>
    <x v="0"/>
    <x v="4"/>
    <x v="1"/>
    <x v="4"/>
    <n v="66.12"/>
    <n v="10"/>
    <n v="238.03"/>
    <n v="45.16"/>
    <n v="36"/>
    <x v="0"/>
    <x v="3"/>
  </r>
  <r>
    <n v="100719"/>
    <x v="687"/>
    <s v="AD-3034-C"/>
    <x v="6"/>
    <x v="1"/>
    <x v="4"/>
    <x v="0"/>
    <x v="2"/>
    <n v="159.36000000000001"/>
    <n v="0"/>
    <n v="478.08"/>
    <n v="135.58000000000001"/>
    <n v="36"/>
    <x v="0"/>
    <x v="5"/>
  </r>
  <r>
    <n v="100295"/>
    <x v="114"/>
    <s v="AD-9808-C"/>
    <x v="2"/>
    <x v="1"/>
    <x v="0"/>
    <x v="0"/>
    <x v="1"/>
    <n v="106.92"/>
    <n v="0"/>
    <n v="213.84"/>
    <n v="58.53"/>
    <n v="29"/>
    <x v="1"/>
    <x v="6"/>
  </r>
  <r>
    <n v="101016"/>
    <x v="576"/>
    <s v="AD-3705-A"/>
    <x v="13"/>
    <x v="0"/>
    <x v="0"/>
    <x v="0"/>
    <x v="0"/>
    <n v="128.88999999999999"/>
    <n v="0"/>
    <n v="644.45000000000005"/>
    <n v="176.92"/>
    <n v="18"/>
    <x v="1"/>
    <x v="1"/>
  </r>
  <r>
    <n v="100455"/>
    <x v="393"/>
    <s v="AD-3360-C"/>
    <x v="6"/>
    <x v="1"/>
    <x v="1"/>
    <x v="0"/>
    <x v="1"/>
    <n v="196.84"/>
    <n v="5"/>
    <n v="374"/>
    <n v="83.57"/>
    <n v="34"/>
    <x v="1"/>
    <x v="0"/>
  </r>
  <r>
    <n v="100815"/>
    <x v="697"/>
    <s v="AD-6469-A"/>
    <x v="3"/>
    <x v="2"/>
    <x v="4"/>
    <x v="1"/>
    <x v="4"/>
    <n v="17.84"/>
    <n v="0"/>
    <n v="71.36"/>
    <n v="26.79"/>
    <n v="34"/>
    <x v="0"/>
    <x v="7"/>
  </r>
  <r>
    <n v="100269"/>
    <x v="269"/>
    <s v="AD-1202-C"/>
    <x v="6"/>
    <x v="1"/>
    <x v="0"/>
    <x v="1"/>
    <x v="4"/>
    <n v="205.91"/>
    <n v="10"/>
    <n v="741.28"/>
    <n v="243.02"/>
    <n v="28"/>
    <x v="0"/>
    <x v="2"/>
  </r>
  <r>
    <n v="100995"/>
    <x v="627"/>
    <s v="AD-8596-D"/>
    <x v="19"/>
    <x v="1"/>
    <x v="0"/>
    <x v="0"/>
    <x v="2"/>
    <n v="127.71"/>
    <n v="0"/>
    <n v="383.13"/>
    <n v="127.48"/>
    <n v="30"/>
    <x v="0"/>
    <x v="1"/>
  </r>
  <r>
    <n v="100201"/>
    <x v="698"/>
    <s v="AD-2761-D"/>
    <x v="9"/>
    <x v="2"/>
    <x v="2"/>
    <x v="1"/>
    <x v="2"/>
    <n v="21.35"/>
    <n v="0"/>
    <n v="64.05"/>
    <n v="15.96"/>
    <n v="32"/>
    <x v="1"/>
    <x v="7"/>
  </r>
  <r>
    <n v="100161"/>
    <x v="338"/>
    <s v="AD-8564-C"/>
    <x v="9"/>
    <x v="2"/>
    <x v="4"/>
    <x v="1"/>
    <x v="2"/>
    <n v="19.93"/>
    <n v="0"/>
    <n v="59.79"/>
    <n v="17.420000000000002"/>
    <n v="35"/>
    <x v="0"/>
    <x v="5"/>
  </r>
  <r>
    <n v="100729"/>
    <x v="65"/>
    <s v="AD-2287-D"/>
    <x v="14"/>
    <x v="1"/>
    <x v="4"/>
    <x v="0"/>
    <x v="1"/>
    <n v="226.68"/>
    <n v="0"/>
    <n v="453.36"/>
    <n v="173.84"/>
    <n v="22"/>
    <x v="1"/>
    <x v="3"/>
  </r>
  <r>
    <n v="100401"/>
    <x v="91"/>
    <s v="AD-7280-A"/>
    <x v="2"/>
    <x v="1"/>
    <x v="1"/>
    <x v="0"/>
    <x v="1"/>
    <n v="96.46"/>
    <n v="10"/>
    <n v="173.63"/>
    <n v="60.6"/>
    <n v="24"/>
    <x v="1"/>
    <x v="5"/>
  </r>
  <r>
    <n v="100702"/>
    <x v="699"/>
    <s v="AD-4806-C"/>
    <x v="11"/>
    <x v="0"/>
    <x v="0"/>
    <x v="0"/>
    <x v="3"/>
    <n v="27.66"/>
    <n v="5"/>
    <n v="26.28"/>
    <n v="9.41"/>
    <n v="18"/>
    <x v="1"/>
    <x v="7"/>
  </r>
  <r>
    <n v="101129"/>
    <x v="659"/>
    <s v="AD-2685-C"/>
    <x v="16"/>
    <x v="1"/>
    <x v="4"/>
    <x v="2"/>
    <x v="2"/>
    <n v="33.840000000000003"/>
    <n v="40"/>
    <n v="60.91"/>
    <n v="19.8"/>
    <n v="22"/>
    <x v="0"/>
    <x v="2"/>
  </r>
  <r>
    <n v="100565"/>
    <x v="277"/>
    <s v="AD-6729-D"/>
    <x v="11"/>
    <x v="0"/>
    <x v="1"/>
    <x v="1"/>
    <x v="2"/>
    <n v="31.11"/>
    <n v="20"/>
    <n v="74.66"/>
    <n v="21.76"/>
    <n v="33"/>
    <x v="0"/>
    <x v="3"/>
  </r>
  <r>
    <n v="101021"/>
    <x v="686"/>
    <s v="AD-5752-C"/>
    <x v="12"/>
    <x v="0"/>
    <x v="3"/>
    <x v="0"/>
    <x v="1"/>
    <n v="124.24"/>
    <n v="20"/>
    <n v="198.78"/>
    <n v="75.989999999999995"/>
    <n v="21"/>
    <x v="0"/>
    <x v="1"/>
  </r>
  <r>
    <n v="101025"/>
    <x v="700"/>
    <s v="AD-3549-C"/>
    <x v="2"/>
    <x v="1"/>
    <x v="2"/>
    <x v="0"/>
    <x v="1"/>
    <n v="97.9"/>
    <n v="0"/>
    <n v="195.8"/>
    <n v="57.08"/>
    <n v="43"/>
    <x v="0"/>
    <x v="7"/>
  </r>
  <r>
    <n v="101104"/>
    <x v="159"/>
    <s v="AD-5305-A"/>
    <x v="14"/>
    <x v="1"/>
    <x v="3"/>
    <x v="1"/>
    <x v="2"/>
    <n v="217.49"/>
    <n v="0"/>
    <n v="652.47"/>
    <n v="140.63999999999999"/>
    <n v="18"/>
    <x v="1"/>
    <x v="2"/>
  </r>
  <r>
    <n v="100205"/>
    <x v="303"/>
    <s v="AD-3440-B"/>
    <x v="15"/>
    <x v="1"/>
    <x v="4"/>
    <x v="0"/>
    <x v="3"/>
    <n v="145.81"/>
    <n v="10"/>
    <n v="131.22999999999999"/>
    <n v="44.93"/>
    <n v="39"/>
    <x v="1"/>
    <x v="5"/>
  </r>
  <r>
    <n v="100034"/>
    <x v="412"/>
    <s v="AD-5533-A"/>
    <x v="1"/>
    <x v="0"/>
    <x v="4"/>
    <x v="2"/>
    <x v="3"/>
    <n v="24.55"/>
    <n v="0"/>
    <n v="24.55"/>
    <n v="7.93"/>
    <n v="29"/>
    <x v="1"/>
    <x v="2"/>
  </r>
  <r>
    <n v="100775"/>
    <x v="321"/>
    <s v="AD-8426-A"/>
    <x v="7"/>
    <x v="1"/>
    <x v="1"/>
    <x v="0"/>
    <x v="2"/>
    <n v="153.41"/>
    <n v="0"/>
    <n v="460.23"/>
    <n v="136.68"/>
    <n v="39"/>
    <x v="0"/>
    <x v="4"/>
  </r>
  <r>
    <n v="100508"/>
    <x v="482"/>
    <s v="AD-2636-C"/>
    <x v="12"/>
    <x v="0"/>
    <x v="4"/>
    <x v="0"/>
    <x v="6"/>
    <n v="123.53"/>
    <n v="40"/>
    <n v="518.83000000000004"/>
    <n v="149.66999999999999"/>
    <n v="45"/>
    <x v="0"/>
    <x v="6"/>
  </r>
  <r>
    <n v="101183"/>
    <x v="340"/>
    <s v="AD-8761-A"/>
    <x v="6"/>
    <x v="1"/>
    <x v="2"/>
    <x v="1"/>
    <x v="3"/>
    <n v="196.24"/>
    <n v="20"/>
    <n v="156.99"/>
    <n v="48.09"/>
    <n v="36"/>
    <x v="1"/>
    <x v="1"/>
  </r>
  <r>
    <n v="100091"/>
    <x v="176"/>
    <s v="AD-8178-D"/>
    <x v="9"/>
    <x v="2"/>
    <x v="0"/>
    <x v="0"/>
    <x v="2"/>
    <n v="17.95"/>
    <n v="0"/>
    <n v="53.85"/>
    <n v="20.98"/>
    <n v="22"/>
    <x v="1"/>
    <x v="0"/>
  </r>
  <r>
    <n v="100897"/>
    <x v="701"/>
    <s v="AD-3884-C"/>
    <x v="1"/>
    <x v="0"/>
    <x v="1"/>
    <x v="1"/>
    <x v="2"/>
    <n v="21.1"/>
    <n v="0"/>
    <n v="63.3"/>
    <n v="17.350000000000001"/>
    <n v="33"/>
    <x v="1"/>
    <x v="7"/>
  </r>
  <r>
    <n v="100564"/>
    <x v="81"/>
    <s v="AD-7776-D"/>
    <x v="2"/>
    <x v="1"/>
    <x v="1"/>
    <x v="1"/>
    <x v="2"/>
    <n v="83.45"/>
    <n v="40"/>
    <n v="150.21"/>
    <n v="23.79"/>
    <n v="33"/>
    <x v="0"/>
    <x v="1"/>
  </r>
  <r>
    <n v="100776"/>
    <x v="702"/>
    <s v="AD-7564-B"/>
    <x v="15"/>
    <x v="1"/>
    <x v="4"/>
    <x v="0"/>
    <x v="2"/>
    <n v="151.03"/>
    <n v="0"/>
    <n v="453.09"/>
    <n v="119.01"/>
    <n v="31"/>
    <x v="0"/>
    <x v="7"/>
  </r>
  <r>
    <n v="100241"/>
    <x v="541"/>
    <s v="AD-7775-C"/>
    <x v="19"/>
    <x v="1"/>
    <x v="0"/>
    <x v="0"/>
    <x v="0"/>
    <n v="126.81"/>
    <n v="0"/>
    <n v="634.04999999999995"/>
    <n v="155.59"/>
    <n v="27"/>
    <x v="0"/>
    <x v="6"/>
  </r>
  <r>
    <n v="100013"/>
    <x v="675"/>
    <s v="AD-7126-B"/>
    <x v="18"/>
    <x v="1"/>
    <x v="4"/>
    <x v="1"/>
    <x v="0"/>
    <n v="76.87"/>
    <n v="0"/>
    <n v="384.35"/>
    <n v="134"/>
    <n v="36"/>
    <x v="0"/>
    <x v="3"/>
  </r>
  <r>
    <n v="100315"/>
    <x v="703"/>
    <s v="AD-1439-C"/>
    <x v="14"/>
    <x v="1"/>
    <x v="0"/>
    <x v="0"/>
    <x v="0"/>
    <n v="230.5"/>
    <n v="20"/>
    <n v="922"/>
    <n v="337.32"/>
    <n v="29"/>
    <x v="0"/>
    <x v="0"/>
  </r>
  <r>
    <n v="100600"/>
    <x v="704"/>
    <s v="AD-4425-A"/>
    <x v="9"/>
    <x v="2"/>
    <x v="0"/>
    <x v="0"/>
    <x v="1"/>
    <n v="20.64"/>
    <n v="10"/>
    <n v="37.15"/>
    <n v="14.42"/>
    <n v="37"/>
    <x v="1"/>
    <x v="6"/>
  </r>
  <r>
    <n v="100387"/>
    <x v="496"/>
    <s v="AD-8767-B"/>
    <x v="16"/>
    <x v="1"/>
    <x v="1"/>
    <x v="0"/>
    <x v="0"/>
    <n v="37.450000000000003"/>
    <n v="40"/>
    <n v="112.35"/>
    <n v="33.340000000000003"/>
    <n v="45"/>
    <x v="0"/>
    <x v="7"/>
  </r>
  <r>
    <n v="100166"/>
    <x v="705"/>
    <s v="AD-1627-C"/>
    <x v="13"/>
    <x v="0"/>
    <x v="2"/>
    <x v="1"/>
    <x v="4"/>
    <n v="119.84"/>
    <n v="0"/>
    <n v="479.36"/>
    <n v="168.4"/>
    <n v="35"/>
    <x v="0"/>
    <x v="3"/>
  </r>
  <r>
    <n v="100840"/>
    <x v="706"/>
    <s v="AD-9737-B"/>
    <x v="18"/>
    <x v="1"/>
    <x v="0"/>
    <x v="0"/>
    <x v="1"/>
    <n v="79.25"/>
    <n v="5"/>
    <n v="150.57"/>
    <n v="49.34"/>
    <n v="33"/>
    <x v="1"/>
    <x v="6"/>
  </r>
  <r>
    <n v="100020"/>
    <x v="117"/>
    <s v="AD-2588-D"/>
    <x v="17"/>
    <x v="2"/>
    <x v="4"/>
    <x v="1"/>
    <x v="0"/>
    <n v="40.69"/>
    <n v="0"/>
    <n v="203.45"/>
    <n v="38.340000000000003"/>
    <n v="16"/>
    <x v="1"/>
    <x v="1"/>
  </r>
  <r>
    <n v="100646"/>
    <x v="159"/>
    <s v="AD-3873-C"/>
    <x v="18"/>
    <x v="1"/>
    <x v="2"/>
    <x v="1"/>
    <x v="4"/>
    <n v="86.95"/>
    <n v="0"/>
    <n v="347.8"/>
    <n v="60.89"/>
    <n v="24"/>
    <x v="0"/>
    <x v="4"/>
  </r>
  <r>
    <n v="101154"/>
    <x v="579"/>
    <s v="AD-1817-B"/>
    <x v="12"/>
    <x v="0"/>
    <x v="4"/>
    <x v="1"/>
    <x v="2"/>
    <n v="143.54"/>
    <n v="20"/>
    <n v="344.5"/>
    <n v="84.76"/>
    <n v="28"/>
    <x v="1"/>
    <x v="1"/>
  </r>
  <r>
    <n v="100831"/>
    <x v="680"/>
    <s v="AD-1487-D"/>
    <x v="5"/>
    <x v="0"/>
    <x v="1"/>
    <x v="2"/>
    <x v="1"/>
    <n v="72.959999999999994"/>
    <n v="10"/>
    <n v="131.33000000000001"/>
    <n v="39.22"/>
    <n v="17"/>
    <x v="0"/>
    <x v="4"/>
  </r>
  <r>
    <n v="100562"/>
    <x v="707"/>
    <s v="AD-9221-D"/>
    <x v="2"/>
    <x v="1"/>
    <x v="0"/>
    <x v="1"/>
    <x v="2"/>
    <n v="99.23"/>
    <n v="5"/>
    <n v="282.81"/>
    <n v="65.959999999999994"/>
    <n v="33"/>
    <x v="1"/>
    <x v="2"/>
  </r>
  <r>
    <n v="101170"/>
    <x v="416"/>
    <s v="AD-1871-D"/>
    <x v="0"/>
    <x v="0"/>
    <x v="4"/>
    <x v="1"/>
    <x v="1"/>
    <n v="62.77"/>
    <n v="10"/>
    <n v="112.99"/>
    <n v="24.42"/>
    <n v="35"/>
    <x v="1"/>
    <x v="1"/>
  </r>
  <r>
    <n v="100686"/>
    <x v="640"/>
    <s v="AD-5835-B"/>
    <x v="14"/>
    <x v="1"/>
    <x v="1"/>
    <x v="0"/>
    <x v="4"/>
    <n v="230.61"/>
    <n v="10"/>
    <n v="830.2"/>
    <n v="213.75"/>
    <n v="34"/>
    <x v="0"/>
    <x v="6"/>
  </r>
  <r>
    <n v="100957"/>
    <x v="289"/>
    <s v="AD-8827-A"/>
    <x v="11"/>
    <x v="0"/>
    <x v="0"/>
    <x v="3"/>
    <x v="4"/>
    <n v="30.19"/>
    <n v="0"/>
    <n v="120.76"/>
    <n v="33.520000000000003"/>
    <n v="18"/>
    <x v="0"/>
    <x v="6"/>
  </r>
  <r>
    <n v="100189"/>
    <x v="708"/>
    <s v="AD-7708-A"/>
    <x v="2"/>
    <x v="1"/>
    <x v="1"/>
    <x v="1"/>
    <x v="3"/>
    <n v="79.48"/>
    <n v="10"/>
    <n v="71.53"/>
    <n v="20.5"/>
    <n v="29"/>
    <x v="1"/>
    <x v="2"/>
  </r>
  <r>
    <n v="100975"/>
    <x v="24"/>
    <s v="AD-3094-D"/>
    <x v="16"/>
    <x v="1"/>
    <x v="2"/>
    <x v="2"/>
    <x v="4"/>
    <n v="37.32"/>
    <n v="0"/>
    <n v="149.28"/>
    <n v="45.58"/>
    <n v="21"/>
    <x v="0"/>
    <x v="7"/>
  </r>
  <r>
    <n v="100699"/>
    <x v="163"/>
    <s v="AD-4085-D"/>
    <x v="8"/>
    <x v="2"/>
    <x v="1"/>
    <x v="0"/>
    <x v="4"/>
    <n v="15.21"/>
    <n v="0"/>
    <n v="60.84"/>
    <n v="25.41"/>
    <n v="26"/>
    <x v="0"/>
    <x v="1"/>
  </r>
  <r>
    <n v="100510"/>
    <x v="498"/>
    <s v="AD-8972-C"/>
    <x v="4"/>
    <x v="2"/>
    <x v="3"/>
    <x v="2"/>
    <x v="1"/>
    <n v="64.86"/>
    <n v="5"/>
    <n v="123.23"/>
    <n v="52.24"/>
    <n v="39"/>
    <x v="1"/>
    <x v="4"/>
  </r>
  <r>
    <n v="101082"/>
    <x v="709"/>
    <s v="AD-4937-C"/>
    <x v="16"/>
    <x v="1"/>
    <x v="0"/>
    <x v="0"/>
    <x v="1"/>
    <n v="36.950000000000003"/>
    <n v="0"/>
    <n v="73.900000000000006"/>
    <n v="19.079999999999998"/>
    <n v="33"/>
    <x v="0"/>
    <x v="7"/>
  </r>
  <r>
    <n v="100474"/>
    <x v="39"/>
    <s v="AD-7732-A"/>
    <x v="13"/>
    <x v="0"/>
    <x v="1"/>
    <x v="1"/>
    <x v="3"/>
    <n v="110.04"/>
    <n v="0"/>
    <n v="110.04"/>
    <n v="35.72"/>
    <n v="37"/>
    <x v="1"/>
    <x v="3"/>
  </r>
  <r>
    <n v="100856"/>
    <x v="128"/>
    <s v="AD-1394-C"/>
    <x v="17"/>
    <x v="2"/>
    <x v="2"/>
    <x v="0"/>
    <x v="5"/>
    <n v="37.799999999999997"/>
    <n v="10"/>
    <n v="204.12"/>
    <n v="55.31"/>
    <n v="25"/>
    <x v="1"/>
    <x v="2"/>
  </r>
  <r>
    <n v="100747"/>
    <x v="710"/>
    <s v="AD-3897-C"/>
    <x v="18"/>
    <x v="1"/>
    <x v="1"/>
    <x v="0"/>
    <x v="1"/>
    <n v="82.82"/>
    <n v="5"/>
    <n v="157.36000000000001"/>
    <n v="60.14"/>
    <n v="32"/>
    <x v="1"/>
    <x v="7"/>
  </r>
  <r>
    <n v="100252"/>
    <x v="711"/>
    <s v="AD-5216-D"/>
    <x v="13"/>
    <x v="0"/>
    <x v="0"/>
    <x v="0"/>
    <x v="1"/>
    <n v="113.39"/>
    <n v="20"/>
    <n v="181.42"/>
    <n v="50.12"/>
    <n v="25"/>
    <x v="0"/>
    <x v="4"/>
  </r>
  <r>
    <n v="100021"/>
    <x v="149"/>
    <s v="AD-1993-D"/>
    <x v="4"/>
    <x v="2"/>
    <x v="2"/>
    <x v="0"/>
    <x v="1"/>
    <n v="59.87"/>
    <n v="5"/>
    <n v="113.75"/>
    <n v="38.020000000000003"/>
    <n v="49"/>
    <x v="0"/>
    <x v="1"/>
  </r>
  <r>
    <n v="100459"/>
    <x v="28"/>
    <s v="AD-4234-D"/>
    <x v="8"/>
    <x v="2"/>
    <x v="1"/>
    <x v="0"/>
    <x v="2"/>
    <n v="15.32"/>
    <n v="5"/>
    <n v="43.66"/>
    <n v="12.27"/>
    <n v="23"/>
    <x v="1"/>
    <x v="1"/>
  </r>
  <r>
    <n v="100276"/>
    <x v="640"/>
    <s v="AD-1440-D"/>
    <x v="12"/>
    <x v="0"/>
    <x v="3"/>
    <x v="0"/>
    <x v="1"/>
    <n v="143.68"/>
    <n v="5"/>
    <n v="272.99"/>
    <n v="91.18"/>
    <n v="27"/>
    <x v="2"/>
    <x v="3"/>
  </r>
  <r>
    <n v="100955"/>
    <x v="624"/>
    <s v="AD-3039-D"/>
    <x v="11"/>
    <x v="0"/>
    <x v="1"/>
    <x v="3"/>
    <x v="2"/>
    <n v="30.31"/>
    <n v="5"/>
    <n v="86.38"/>
    <n v="20.21"/>
    <n v="30"/>
    <x v="1"/>
    <x v="7"/>
  </r>
  <r>
    <n v="100385"/>
    <x v="453"/>
    <s v="AD-3679-C"/>
    <x v="19"/>
    <x v="1"/>
    <x v="3"/>
    <x v="1"/>
    <x v="2"/>
    <n v="130.16"/>
    <n v="5"/>
    <n v="370.96"/>
    <n v="126.59"/>
    <n v="23"/>
    <x v="0"/>
    <x v="4"/>
  </r>
  <r>
    <n v="100805"/>
    <x v="712"/>
    <s v="AD-5921-B"/>
    <x v="3"/>
    <x v="2"/>
    <x v="2"/>
    <x v="1"/>
    <x v="2"/>
    <n v="16.39"/>
    <n v="5"/>
    <n v="46.71"/>
    <n v="12.19"/>
    <n v="23"/>
    <x v="1"/>
    <x v="3"/>
  </r>
  <r>
    <n v="100343"/>
    <x v="510"/>
    <s v="AD-2506-C"/>
    <x v="2"/>
    <x v="1"/>
    <x v="4"/>
    <x v="2"/>
    <x v="1"/>
    <n v="96.12"/>
    <n v="10"/>
    <n v="173.02"/>
    <n v="65.849999999999994"/>
    <n v="37"/>
    <x v="1"/>
    <x v="3"/>
  </r>
  <r>
    <n v="100769"/>
    <x v="713"/>
    <s v="AD-6947-D"/>
    <x v="18"/>
    <x v="1"/>
    <x v="1"/>
    <x v="1"/>
    <x v="2"/>
    <n v="79.709999999999994"/>
    <n v="5"/>
    <n v="227.17"/>
    <n v="58.6"/>
    <n v="35"/>
    <x v="0"/>
    <x v="3"/>
  </r>
  <r>
    <n v="100130"/>
    <x v="714"/>
    <s v="AD-2527-D"/>
    <x v="1"/>
    <x v="0"/>
    <x v="4"/>
    <x v="3"/>
    <x v="1"/>
    <n v="25.2"/>
    <n v="5"/>
    <n v="47.88"/>
    <n v="13.03"/>
    <n v="27"/>
    <x v="1"/>
    <x v="1"/>
  </r>
  <r>
    <n v="100871"/>
    <x v="574"/>
    <s v="AD-3044-D"/>
    <x v="19"/>
    <x v="1"/>
    <x v="4"/>
    <x v="1"/>
    <x v="0"/>
    <n v="127.61"/>
    <n v="5"/>
    <n v="606.15"/>
    <n v="149.27000000000001"/>
    <n v="30"/>
    <x v="0"/>
    <x v="7"/>
  </r>
  <r>
    <n v="101123"/>
    <x v="715"/>
    <s v="AD-4445-D"/>
    <x v="16"/>
    <x v="1"/>
    <x v="1"/>
    <x v="0"/>
    <x v="2"/>
    <n v="33.9"/>
    <n v="5"/>
    <n v="96.61"/>
    <n v="33.520000000000003"/>
    <n v="20"/>
    <x v="1"/>
    <x v="1"/>
  </r>
  <r>
    <n v="100087"/>
    <x v="461"/>
    <s v="AD-9056-A"/>
    <x v="7"/>
    <x v="1"/>
    <x v="0"/>
    <x v="2"/>
    <x v="1"/>
    <n v="149.85"/>
    <n v="5"/>
    <n v="284.70999999999998"/>
    <n v="83.89"/>
    <n v="21"/>
    <x v="1"/>
    <x v="2"/>
  </r>
  <r>
    <n v="100330"/>
    <x v="677"/>
    <s v="AD-4974-D"/>
    <x v="2"/>
    <x v="1"/>
    <x v="4"/>
    <x v="0"/>
    <x v="4"/>
    <n v="95.63"/>
    <n v="0"/>
    <n v="382.52"/>
    <n v="105.82"/>
    <n v="32"/>
    <x v="0"/>
    <x v="0"/>
  </r>
  <r>
    <n v="100466"/>
    <x v="355"/>
    <s v="AD-3193-D"/>
    <x v="8"/>
    <x v="2"/>
    <x v="0"/>
    <x v="0"/>
    <x v="2"/>
    <n v="14.54"/>
    <n v="5"/>
    <n v="41.44"/>
    <n v="13.54"/>
    <n v="36"/>
    <x v="1"/>
    <x v="0"/>
  </r>
  <r>
    <n v="100121"/>
    <x v="716"/>
    <s v="AD-4538-B"/>
    <x v="13"/>
    <x v="0"/>
    <x v="4"/>
    <x v="1"/>
    <x v="4"/>
    <n v="104.11"/>
    <n v="20"/>
    <n v="333.15"/>
    <n v="86.57"/>
    <n v="43"/>
    <x v="1"/>
    <x v="6"/>
  </r>
  <r>
    <n v="101044"/>
    <x v="467"/>
    <s v="AD-7512-D"/>
    <x v="14"/>
    <x v="1"/>
    <x v="3"/>
    <x v="0"/>
    <x v="1"/>
    <n v="220.12"/>
    <n v="5"/>
    <n v="418.23"/>
    <n v="108.68"/>
    <n v="36"/>
    <x v="0"/>
    <x v="6"/>
  </r>
  <r>
    <n v="101095"/>
    <x v="717"/>
    <s v="AD-6716-D"/>
    <x v="17"/>
    <x v="2"/>
    <x v="4"/>
    <x v="0"/>
    <x v="1"/>
    <n v="45.97"/>
    <n v="5"/>
    <n v="87.34"/>
    <n v="28.46"/>
    <n v="40"/>
    <x v="1"/>
    <x v="1"/>
  </r>
  <r>
    <n v="101130"/>
    <x v="718"/>
    <s v="AD-6222-A"/>
    <x v="16"/>
    <x v="1"/>
    <x v="1"/>
    <x v="2"/>
    <x v="2"/>
    <n v="31"/>
    <n v="0"/>
    <n v="93"/>
    <n v="28.22"/>
    <n v="34"/>
    <x v="1"/>
    <x v="0"/>
  </r>
  <r>
    <n v="100860"/>
    <x v="719"/>
    <s v="AD-5412-A"/>
    <x v="19"/>
    <x v="1"/>
    <x v="1"/>
    <x v="1"/>
    <x v="4"/>
    <n v="142.77000000000001"/>
    <n v="0"/>
    <n v="571.08000000000004"/>
    <n v="170.99"/>
    <n v="40"/>
    <x v="1"/>
    <x v="1"/>
  </r>
  <r>
    <n v="101126"/>
    <x v="720"/>
    <s v="AD-4543-C"/>
    <x v="18"/>
    <x v="1"/>
    <x v="4"/>
    <x v="0"/>
    <x v="5"/>
    <n v="72.03"/>
    <n v="20"/>
    <n v="345.74"/>
    <n v="94.24"/>
    <n v="3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F4A770-5CC2-482B-9F6F-040DC30D0CBE}"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04:D110"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axis="axisRow" showAll="0">
      <items count="7">
        <item x="0"/>
        <item x="4"/>
        <item m="1" x="5"/>
        <item x="3"/>
        <item x="1"/>
        <item x="2"/>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 showAll="0" defaultSubtotal="0"/>
    <pivotField showAll="0" defaultSubtotal="0"/>
    <pivotField showAll="0" defaultSubtotal="0">
      <items count="5">
        <item x="0"/>
        <item x="1"/>
        <item x="2"/>
        <item x="3"/>
        <item x="4"/>
      </items>
    </pivotField>
  </pivotFields>
  <rowFields count="1">
    <field x="5"/>
  </rowFields>
  <rowItems count="6">
    <i>
      <x/>
    </i>
    <i>
      <x v="1"/>
    </i>
    <i>
      <x v="3"/>
    </i>
    <i>
      <x v="4"/>
    </i>
    <i>
      <x v="5"/>
    </i>
    <i t="grand">
      <x/>
    </i>
  </rowItems>
  <colItems count="1">
    <i/>
  </colItems>
  <dataFields count="1">
    <dataField name="Sum of Profit" fld="11" baseField="0" baseItem="0"/>
  </dataField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 chart="7" format="10">
      <pivotArea type="data" outline="0" fieldPosition="0">
        <references count="2">
          <reference field="4294967294" count="1" selected="0">
            <x v="0"/>
          </reference>
          <reference field="5" count="1" selected="0">
            <x v="3"/>
          </reference>
        </references>
      </pivotArea>
    </chartFormat>
    <chartFormat chart="7" format="11">
      <pivotArea type="data" outline="0" fieldPosition="0">
        <references count="2">
          <reference field="4294967294" count="1" selected="0">
            <x v="0"/>
          </reference>
          <reference field="5" count="1" selected="0">
            <x v="4"/>
          </reference>
        </references>
      </pivotArea>
    </chartFormat>
    <chartFormat chart="7" format="12">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A33D44-6A21-4013-B55E-4348CB025637}"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80:C89"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7">
        <item x="0"/>
        <item x="4"/>
        <item m="1" x="5"/>
        <item x="3"/>
        <item x="1"/>
        <item x="2"/>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axis="axisRow" showAll="0">
      <items count="9">
        <item x="2"/>
        <item x="4"/>
        <item x="7"/>
        <item x="1"/>
        <item x="5"/>
        <item x="0"/>
        <item x="3"/>
        <item x="6"/>
        <item t="default"/>
      </items>
    </pivotField>
    <pivotField showAll="0" defaultSubtotal="0"/>
    <pivotField showAll="0" defaultSubtotal="0"/>
    <pivotField showAll="0" defaultSubtotal="0">
      <items count="5">
        <item x="0"/>
        <item x="1"/>
        <item x="2"/>
        <item x="3"/>
        <item x="4"/>
      </items>
    </pivotField>
  </pivotFields>
  <rowFields count="1">
    <field x="14"/>
  </rowFields>
  <rowItems count="9">
    <i>
      <x/>
    </i>
    <i>
      <x v="1"/>
    </i>
    <i>
      <x v="2"/>
    </i>
    <i>
      <x v="3"/>
    </i>
    <i>
      <x v="4"/>
    </i>
    <i>
      <x v="5"/>
    </i>
    <i>
      <x v="6"/>
    </i>
    <i>
      <x v="7"/>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D00E41-B528-4E6A-B943-11FD9E39C8F1}"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2:K79"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7">
        <item x="0"/>
        <item x="4"/>
        <item m="1" x="5"/>
        <item x="3"/>
        <item x="1"/>
        <item x="2"/>
        <item t="default"/>
      </items>
    </pivotField>
    <pivotField showAll="0"/>
    <pivotField showAll="0"/>
    <pivotField showAll="0"/>
    <pivotField showAll="0"/>
    <pivotField showAll="0"/>
    <pivotField showAll="0"/>
    <pivotField showAll="0"/>
    <pivotField showAll="0"/>
    <pivotField showAll="0">
      <items count="9">
        <item x="2"/>
        <item x="4"/>
        <item x="7"/>
        <item x="1"/>
        <item x="5"/>
        <item x="0"/>
        <item x="3"/>
        <item x="6"/>
        <item t="default"/>
      </items>
    </pivotField>
    <pivotField showAll="0" defaultSubtota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F129CB-A582-4583-BDA4-7E7246906CA9}" name="PivotTable5"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E80:F85"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7">
        <item x="0"/>
        <item x="4"/>
        <item m="1" x="5"/>
        <item x="3"/>
        <item x="1"/>
        <item x="2"/>
        <item t="default"/>
      </items>
    </pivotField>
    <pivotField showAll="0"/>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5"/>
  </rowFields>
  <rowItems count="5">
    <i>
      <x/>
    </i>
    <i>
      <x v="1"/>
    </i>
    <i>
      <x v="3"/>
    </i>
    <i>
      <x v="4"/>
    </i>
    <i>
      <x v="5"/>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23DC9-592D-4B01-82ED-008A2E2AF5E8}" name="PivotTable2"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location ref="C17:D31" firstHeaderRow="1" firstDataRow="1" firstDataCol="1"/>
  <pivotFields count="18">
    <pivotField showAll="0"/>
    <pivotField axis="axisRow"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7">
        <item x="0"/>
        <item x="4"/>
        <item m="1" x="5"/>
        <item x="3"/>
        <item x="1"/>
        <item x="2"/>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7"/>
    <field x="16"/>
    <field x="1"/>
  </rowFields>
  <rowItems count="14">
    <i>
      <x v="1"/>
    </i>
    <i r="1">
      <x v="1"/>
    </i>
    <i r="1">
      <x v="2"/>
    </i>
    <i r="1">
      <x v="3"/>
    </i>
    <i r="1">
      <x v="4"/>
    </i>
    <i>
      <x v="2"/>
    </i>
    <i r="1">
      <x v="1"/>
    </i>
    <i r="1">
      <x v="2"/>
    </i>
    <i r="1">
      <x v="3"/>
    </i>
    <i r="1">
      <x v="4"/>
    </i>
    <i>
      <x v="3"/>
    </i>
    <i r="1">
      <x v="1"/>
    </i>
    <i r="1">
      <x v="2"/>
    </i>
    <i r="1">
      <x v="3"/>
    </i>
  </rowItems>
  <colItems count="1">
    <i/>
  </colItems>
  <dataFields count="1">
    <dataField name="Sum of Revenue" fld="1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6" count="1" selected="0">
            <x v="1"/>
          </reference>
          <reference field="17" count="1" selected="0">
            <x v="1"/>
          </reference>
        </references>
      </pivotArea>
    </chartFormat>
    <chartFormat chart="0" format="2">
      <pivotArea type="data" outline="0" fieldPosition="0">
        <references count="3">
          <reference field="4294967294" count="1" selected="0">
            <x v="0"/>
          </reference>
          <reference field="16" count="1" selected="0">
            <x v="2"/>
          </reference>
          <reference field="17" count="1" selected="0">
            <x v="1"/>
          </reference>
        </references>
      </pivotArea>
    </chartFormat>
    <chartFormat chart="0" format="3">
      <pivotArea type="data" outline="0" fieldPosition="0">
        <references count="3">
          <reference field="4294967294" count="1" selected="0">
            <x v="0"/>
          </reference>
          <reference field="16" count="1" selected="0">
            <x v="3"/>
          </reference>
          <reference field="1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3">
          <reference field="4294967294" count="1" selected="0">
            <x v="0"/>
          </reference>
          <reference field="16" count="1" selected="0">
            <x v="1"/>
          </reference>
          <reference field="17" count="1" selected="0">
            <x v="1"/>
          </reference>
        </references>
      </pivotArea>
    </chartFormat>
    <chartFormat chart="7" format="10">
      <pivotArea type="data" outline="0" fieldPosition="0">
        <references count="3">
          <reference field="4294967294" count="1" selected="0">
            <x v="0"/>
          </reference>
          <reference field="16" count="1" selected="0">
            <x v="2"/>
          </reference>
          <reference field="17" count="1" selected="0">
            <x v="1"/>
          </reference>
        </references>
      </pivotArea>
    </chartFormat>
    <chartFormat chart="7" format="11">
      <pivotArea type="data" outline="0" fieldPosition="0">
        <references count="3">
          <reference field="4294967294" count="1" selected="0">
            <x v="0"/>
          </reference>
          <reference field="16" count="1" selected="0">
            <x v="3"/>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859DAA-F8B5-4730-A6D1-9D23FC75BAEE}" name="PivotTable8"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C52:C53"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7">
        <item x="0"/>
        <item x="4"/>
        <item m="1" x="5"/>
        <item x="3"/>
        <item x="1"/>
        <item x="2"/>
        <item t="default"/>
      </items>
    </pivotField>
    <pivotField showAll="0">
      <items count="5">
        <item x="0"/>
        <item x="2"/>
        <item x="1"/>
        <item x="3"/>
        <item t="default"/>
      </items>
    </pivotField>
    <pivotField showAll="0">
      <items count="8">
        <item x="3"/>
        <item x="1"/>
        <item x="2"/>
        <item x="4"/>
        <item x="0"/>
        <item x="5"/>
        <item x="6"/>
        <item t="default"/>
      </items>
    </pivotField>
    <pivotField showAll="0"/>
    <pivotField showAll="0"/>
    <pivotField showAll="0"/>
    <pivotField dataField="1"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497F37-F1C3-417E-9A1D-F365D92AAE46}" name="PivotTable1"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location ref="C2:D11"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x="2"/>
        <item x="0"/>
        <item x="1"/>
        <item t="default"/>
      </items>
    </pivotField>
    <pivotField showAll="0">
      <items count="7">
        <item x="0"/>
        <item x="4"/>
        <item m="1" x="5"/>
        <item x="3"/>
        <item x="1"/>
        <item x="2"/>
        <item t="default"/>
      </items>
    </pivotField>
    <pivotField showAll="0"/>
    <pivotField showAll="0"/>
    <pivotField showAll="0"/>
    <pivotField showAll="0"/>
    <pivotField showAll="0"/>
    <pivotField dataField="1" showAll="0"/>
    <pivotField showAll="0"/>
    <pivotField axis="axisRow" showAll="0">
      <items count="4">
        <item x="0"/>
        <item x="1"/>
        <item sd="0" x="2"/>
        <item t="default"/>
      </items>
    </pivotField>
    <pivotField showAll="0">
      <items count="9">
        <item x="2"/>
        <item x="4"/>
        <item x="7"/>
        <item x="1"/>
        <item x="5"/>
        <item x="0"/>
        <item x="3"/>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3"/>
    <field x="4"/>
  </rowFields>
  <rowItems count="9">
    <i>
      <x/>
    </i>
    <i r="1">
      <x/>
    </i>
    <i r="1">
      <x v="1"/>
    </i>
    <i r="1">
      <x v="2"/>
    </i>
    <i>
      <x v="1"/>
    </i>
    <i r="1">
      <x/>
    </i>
    <i r="1">
      <x v="1"/>
    </i>
    <i r="1">
      <x v="2"/>
    </i>
    <i>
      <x v="2"/>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5A6E9D-C974-4012-A3AE-07A10127E54E}" name="PivotTable7"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C49:C50"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7">
        <item x="0"/>
        <item x="4"/>
        <item m="1" x="5"/>
        <item x="3"/>
        <item x="1"/>
        <item x="2"/>
        <item t="default"/>
      </items>
    </pivotField>
    <pivotField showAll="0">
      <items count="5">
        <item x="0"/>
        <item x="2"/>
        <item x="1"/>
        <item x="3"/>
        <item t="default"/>
      </items>
    </pivotField>
    <pivotField dataField="1" showAll="0">
      <items count="8">
        <item x="3"/>
        <item x="1"/>
        <item x="2"/>
        <item x="4"/>
        <item x="0"/>
        <item x="5"/>
        <item x="6"/>
        <item t="default"/>
      </items>
    </pivotField>
    <pivotField showAll="0"/>
    <pivotField showAll="0"/>
    <pivotField showAll="0"/>
    <pivotField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Items count="1">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6E3929-5F19-46F5-8139-38FC86AE5280}"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42:D47"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7">
        <item x="0"/>
        <item x="4"/>
        <item m="1" x="5"/>
        <item x="3"/>
        <item x="1"/>
        <item x="2"/>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dataField="1"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6"/>
  </rowFields>
  <rowItems count="5">
    <i>
      <x/>
    </i>
    <i>
      <x v="1"/>
    </i>
    <i>
      <x v="2"/>
    </i>
    <i>
      <x v="3"/>
    </i>
    <i t="grand">
      <x/>
    </i>
  </rowItems>
  <colItems count="1">
    <i/>
  </colItems>
  <dataFields count="1">
    <dataField name="Count of Payment_Method" fld="14" subtotal="count" showDataAs="percentOfTotal" baseField="0" baseItem="0" numFmtId="10"/>
  </dataFields>
  <formats count="1">
    <format dxfId="28">
      <pivotArea collapsedLevelsAreSubtotals="1" fieldPosition="0">
        <references count="1">
          <reference field="6" count="0"/>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6" format="13">
      <pivotArea type="data" outline="0" fieldPosition="0">
        <references count="2">
          <reference field="4294967294" count="1" selected="0">
            <x v="0"/>
          </reference>
          <reference field="6" count="1" selected="0">
            <x v="2"/>
          </reference>
        </references>
      </pivotArea>
    </chartFormat>
    <chartFormat chart="6"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D1AF62-E957-4F80-A548-9AF9545A5BCE}" name="PivotTable3"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C34:D39"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7">
        <item x="0"/>
        <item x="4"/>
        <item m="1" x="5"/>
        <item x="3"/>
        <item x="1"/>
        <item x="2"/>
        <item t="default"/>
      </items>
    </pivotField>
    <pivotField showAll="0"/>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5"/>
  </rowFields>
  <rowItems count="5">
    <i>
      <x/>
    </i>
    <i>
      <x v="1"/>
    </i>
    <i>
      <x v="3"/>
    </i>
    <i>
      <x v="4"/>
    </i>
    <i>
      <x v="5"/>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AA4B3E-56AC-4D97-8FF9-9C7FD093ECD8}" name="PivotTable10"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55:F76"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items count="21">
        <item x="5"/>
        <item x="16"/>
        <item x="7"/>
        <item x="1"/>
        <item x="10"/>
        <item x="19"/>
        <item x="4"/>
        <item x="3"/>
        <item x="14"/>
        <item x="12"/>
        <item x="17"/>
        <item x="8"/>
        <item x="18"/>
        <item x="2"/>
        <item x="0"/>
        <item x="9"/>
        <item x="11"/>
        <item x="6"/>
        <item x="15"/>
        <item x="13"/>
        <item t="default"/>
      </items>
    </pivotField>
    <pivotField showAll="0"/>
    <pivotField showAll="0">
      <items count="7">
        <item x="0"/>
        <item x="4"/>
        <item m="1" x="5"/>
        <item x="3"/>
        <item x="1"/>
        <item x="2"/>
        <item t="default"/>
      </items>
    </pivotField>
    <pivotField showAll="0">
      <items count="5">
        <item x="0"/>
        <item x="2"/>
        <item x="1"/>
        <item x="3"/>
        <item t="default"/>
      </items>
    </pivotField>
    <pivotField showAll="0"/>
    <pivotField dataField="1" showAll="0"/>
    <pivotField showAll="0"/>
    <pivotField showAll="0"/>
    <pivotField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Unit_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E555A1-681C-45E8-877C-09778CB8F99C}" name="PivotTable9"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C55:C56"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dataField="1" showAll="0">
      <items count="7">
        <item x="0"/>
        <item x="4"/>
        <item m="1" x="5"/>
        <item x="3"/>
        <item x="1"/>
        <item x="2"/>
        <item t="default"/>
      </items>
    </pivotField>
    <pivotField showAll="0">
      <items count="5">
        <item x="0"/>
        <item x="2"/>
        <item x="1"/>
        <item x="3"/>
        <item t="default"/>
      </items>
    </pivotField>
    <pivotField showAll="0">
      <items count="8">
        <item x="3"/>
        <item x="1"/>
        <item x="2"/>
        <item x="4"/>
        <item x="0"/>
        <item x="5"/>
        <item x="6"/>
        <item t="default"/>
      </items>
    </pivotField>
    <pivotField showAll="0"/>
    <pivotField showAll="0"/>
    <pivotField showAll="0"/>
    <pivotField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Items count="1">
    <i/>
  </rowItems>
  <colItems count="1">
    <i/>
  </colItems>
  <dataFields count="1">
    <dataField name="Count of Reg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8FC5F2-6C68-429E-91DF-1F9B9445F002}" sourceName="Region">
  <pivotTables>
    <pivotTable tabId="2" name="PivotTable11"/>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 tabId="2" name="PivotTable12"/>
    <pivotTable tabId="2" name="PivotTable13"/>
  </pivotTables>
  <data>
    <tabular pivotCacheId="1555853184">
      <items count="6">
        <i x="0" s="1"/>
        <i x="4" s="1"/>
        <i x="3" s="1"/>
        <i x="1"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BC1B8D6-ACD6-41F5-9782-434EDD74DCDA}" sourceName="Payment_Method">
  <pivotTables>
    <pivotTable tabId="2" name="PivotTable4"/>
    <pivotTable tabId="2" name="PivotTable1"/>
    <pivotTable tabId="2" name="PivotTable10"/>
    <pivotTable tabId="2" name="PivotTable11"/>
    <pivotTable tabId="2" name="PivotTable2"/>
    <pivotTable tabId="2" name="PivotTable3"/>
    <pivotTable tabId="2" name="PivotTable5"/>
    <pivotTable tabId="2" name="PivotTable7"/>
    <pivotTable tabId="2" name="PivotTable8"/>
    <pivotTable tabId="2" name="PivotTable9"/>
    <pivotTable tabId="2" name="PivotTable12"/>
    <pivotTable tabId="2" name="PivotTable13"/>
  </pivotTables>
  <data>
    <tabular pivotCacheId="1555853184">
      <items count="8">
        <i x="2" s="1"/>
        <i x="4" s="1"/>
        <i x="7" s="1"/>
        <i x="1" s="1"/>
        <i x="5"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8D0BA1-BC4B-4085-91C9-1370CBE93357}" cache="Slicer_Region" caption="Region" rowHeight="257175"/>
  <slicer name="Payment_Method" xr10:uid="{A6D8595B-3E8D-4136-B4CF-8D9652905958}" cache="Slicer_Payment_Method" caption="Payment_Metho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9568148-51AF-4AAF-9473-7BAC6CF84F1C}" cache="Slicer_Region" caption="Region" rowHeight="257175"/>
  <slicer name="Payment_Method 1" xr10:uid="{F1BBC225-D8B9-4EE3-9FD8-42795030B76C}" cache="Slicer_Payment_Method" caption="Payment_Method"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7479F3-AD50-4457-A525-E6D43D72A831}" name="Table1" displayName="Table1" ref="A1:O1201" totalsRowShown="0" headerRowDxfId="45" dataDxfId="44">
  <autoFilter ref="A1:O1201" xr:uid="{C47479F3-AD50-4457-A525-E6D43D72A831}"/>
  <tableColumns count="15">
    <tableColumn id="1" xr3:uid="{1B6FF0E7-2D90-412B-AFBC-D807BE8C8A98}" name="Order_ID" dataDxfId="43"/>
    <tableColumn id="2" xr3:uid="{D239FB72-ADA0-49BD-83A2-15538C805076}" name="Order_Date" dataDxfId="42"/>
    <tableColumn id="3" xr3:uid="{0997540E-BE27-441C-9796-7AB84E87DA32}" name="SKU" dataDxfId="41"/>
    <tableColumn id="4" xr3:uid="{6E1EC804-AFB6-40E8-9DAE-32F91265C3DE}" name="Product_Name" dataDxfId="40"/>
    <tableColumn id="5" xr3:uid="{CDAABA81-D7B9-4226-9780-B533AE0E690E}" name="Category" dataDxfId="39"/>
    <tableColumn id="6" xr3:uid="{18FD264D-8E39-43BF-B69E-4D4142E17CBF}" name="Region" dataDxfId="38"/>
    <tableColumn id="7" xr3:uid="{F0DD249C-92B7-4040-8BE5-887B676650F8}" name="Store_Type" dataDxfId="37"/>
    <tableColumn id="8" xr3:uid="{155A3114-C48F-4E1F-A370-9EA15BB53E40}" name="Units_Sold" dataDxfId="36"/>
    <tableColumn id="9" xr3:uid="{4AAA62EC-AD0A-4EC0-BAC0-AD2347E20ABE}" name="Unit_Price" dataDxfId="35"/>
    <tableColumn id="10" xr3:uid="{824F8BF4-196F-4C0B-BB47-B756E83E7971}" name="Discount" dataDxfId="34"/>
    <tableColumn id="11" xr3:uid="{C1F899BD-7B36-404F-A354-14468831ECCE}" name="Revenue" dataDxfId="33"/>
    <tableColumn id="12" xr3:uid="{526DCCAB-77C3-4CA5-9BEA-D43E0960B714}" name="Profit" dataDxfId="32"/>
    <tableColumn id="13" xr3:uid="{58932549-01FA-4386-A486-243BDB1202A3}" name="Customer_Age" dataDxfId="31"/>
    <tableColumn id="14" xr3:uid="{2B105266-E15A-4924-A898-B0B385B91C52}" name="Gender" dataDxfId="30"/>
    <tableColumn id="15" xr3:uid="{EC37C57E-FD9C-4943-8CF4-62400768968A}" name="Payment_Method" dataDxf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90C2FB-A8F9-4388-9864-E94BC660AB03}" sourceName="Order_Date">
  <pivotTables>
    <pivotTable tabId="2" name="PivotTable3"/>
    <pivotTable tabId="2" name="PivotTable1"/>
    <pivotTable tabId="2" name="PivotTable10"/>
    <pivotTable tabId="2" name="PivotTable2"/>
    <pivotTable tabId="2" name="PivotTable4"/>
    <pivotTable tabId="2" name="PivotTable7"/>
    <pivotTable tabId="2" name="PivotTable8"/>
    <pivotTable tabId="2" name="PivotTable9"/>
    <pivotTable tabId="2" name="PivotTable5"/>
  </pivotTables>
  <state minimalRefreshVersion="6" lastRefreshVersion="6" pivotCacheId="155585318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8FEFE25-B31C-4861-B560-8DD3D12272D4}" cache="NativeTimeline_Order_Date" caption="Order_Date" level="2" selectionLevel="2" scrollPosition="2025-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opLeftCell="A2" workbookViewId="0">
      <selection activeCell="G25" sqref="A2:O1201"/>
    </sheetView>
  </sheetViews>
  <sheetFormatPr defaultRowHeight="15" x14ac:dyDescent="0.25"/>
  <cols>
    <col min="1" max="1" width="12.7109375" bestFit="1" customWidth="1"/>
    <col min="2" max="2" width="14.85546875" bestFit="1" customWidth="1"/>
    <col min="3" max="3" width="9.85546875" bestFit="1" customWidth="1"/>
    <col min="4" max="4" width="24" bestFit="1" customWidth="1"/>
    <col min="5" max="5" width="12.7109375" bestFit="1" customWidth="1"/>
    <col min="6" max="6" width="12.28515625" bestFit="1" customWidth="1"/>
    <col min="7" max="7" width="14.5703125" bestFit="1" customWidth="1"/>
    <col min="8" max="8" width="14.28515625" bestFit="1" customWidth="1"/>
    <col min="9" max="9" width="14" bestFit="1" customWidth="1"/>
    <col min="10" max="10" width="12.7109375" bestFit="1" customWidth="1"/>
    <col min="11" max="11" width="12.42578125" bestFit="1" customWidth="1"/>
    <col min="12" max="12" width="10" bestFit="1" customWidth="1"/>
    <col min="13" max="13" width="17.28515625" bestFit="1" customWidth="1"/>
    <col min="14" max="14" width="11.5703125" bestFit="1" customWidth="1"/>
    <col min="15" max="15" width="19.85546875" bestFit="1" customWidth="1"/>
  </cols>
  <sheetData>
    <row r="1" spans="1:1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25">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x14ac:dyDescent="0.25">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x14ac:dyDescent="0.25">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x14ac:dyDescent="0.25">
      <c r="A5" s="1">
        <v>100439</v>
      </c>
      <c r="B5" s="2">
        <v>45294</v>
      </c>
      <c r="C5" s="1" t="s">
        <v>28</v>
      </c>
      <c r="D5" s="1" t="s">
        <v>29</v>
      </c>
      <c r="E5" s="1" t="s">
        <v>30</v>
      </c>
      <c r="F5" s="1" t="s">
        <v>1254</v>
      </c>
      <c r="G5" s="1" t="s">
        <v>31</v>
      </c>
      <c r="H5" s="1">
        <v>5</v>
      </c>
      <c r="I5" s="1">
        <v>17.489999999999998</v>
      </c>
      <c r="J5" s="1">
        <v>10</v>
      </c>
      <c r="K5" s="1">
        <v>78.7</v>
      </c>
      <c r="L5" s="1">
        <v>35.99</v>
      </c>
      <c r="M5" s="1">
        <v>30</v>
      </c>
      <c r="N5" s="1" t="s">
        <v>19</v>
      </c>
      <c r="O5" s="1" t="s">
        <v>32</v>
      </c>
    </row>
    <row r="6" spans="1:15" x14ac:dyDescent="0.25">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x14ac:dyDescent="0.25">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x14ac:dyDescent="0.25">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x14ac:dyDescent="0.25">
      <c r="A9" s="1">
        <v>100974</v>
      </c>
      <c r="B9" s="2">
        <v>45283</v>
      </c>
      <c r="C9" s="1" t="s">
        <v>40</v>
      </c>
      <c r="D9" s="1" t="s">
        <v>34</v>
      </c>
      <c r="E9" s="1" t="s">
        <v>30</v>
      </c>
      <c r="F9" s="1" t="s">
        <v>1239</v>
      </c>
      <c r="G9" s="1" t="s">
        <v>31</v>
      </c>
      <c r="H9" s="1">
        <v>3</v>
      </c>
      <c r="I9" s="1">
        <v>57.19</v>
      </c>
      <c r="J9" s="1">
        <v>0</v>
      </c>
      <c r="K9" s="1">
        <v>171.57</v>
      </c>
      <c r="L9" s="1">
        <v>52.43</v>
      </c>
      <c r="M9" s="1">
        <v>49</v>
      </c>
      <c r="N9" s="1" t="s">
        <v>19</v>
      </c>
      <c r="O9" s="1" t="s">
        <v>27</v>
      </c>
    </row>
    <row r="10" spans="1:15" x14ac:dyDescent="0.25">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x14ac:dyDescent="0.25">
      <c r="A11" s="1">
        <v>100855</v>
      </c>
      <c r="B11" s="2">
        <v>45050</v>
      </c>
      <c r="C11" s="1" t="s">
        <v>44</v>
      </c>
      <c r="D11" s="1" t="s">
        <v>45</v>
      </c>
      <c r="E11" s="1" t="s">
        <v>30</v>
      </c>
      <c r="F11" s="1" t="s">
        <v>1240</v>
      </c>
      <c r="G11" s="1" t="s">
        <v>31</v>
      </c>
      <c r="H11" s="1">
        <v>1</v>
      </c>
      <c r="I11" s="1">
        <v>15.26</v>
      </c>
      <c r="J11" s="1">
        <v>20</v>
      </c>
      <c r="K11" s="1">
        <v>12.21</v>
      </c>
      <c r="L11" s="1">
        <v>3.82</v>
      </c>
      <c r="M11" s="1">
        <v>33</v>
      </c>
      <c r="N11" s="1" t="s">
        <v>26</v>
      </c>
      <c r="O11" s="1" t="s">
        <v>46</v>
      </c>
    </row>
    <row r="12" spans="1:15" x14ac:dyDescent="0.25">
      <c r="A12" s="1">
        <v>100820</v>
      </c>
      <c r="B12" s="2">
        <v>45279</v>
      </c>
      <c r="C12" s="1" t="s">
        <v>47</v>
      </c>
      <c r="D12" s="1" t="s">
        <v>29</v>
      </c>
      <c r="E12" s="1" t="s">
        <v>30</v>
      </c>
      <c r="F12" s="1" t="s">
        <v>1240</v>
      </c>
      <c r="G12" s="1" t="s">
        <v>48</v>
      </c>
      <c r="H12" s="1">
        <v>1</v>
      </c>
      <c r="I12" s="1">
        <v>18.61</v>
      </c>
      <c r="J12" s="1">
        <v>20</v>
      </c>
      <c r="K12" s="1">
        <v>14.89</v>
      </c>
      <c r="L12" s="1">
        <v>6.07</v>
      </c>
      <c r="M12" s="1">
        <v>25</v>
      </c>
      <c r="N12" s="1" t="s">
        <v>26</v>
      </c>
      <c r="O12" s="1" t="s">
        <v>46</v>
      </c>
    </row>
    <row r="13" spans="1:15" x14ac:dyDescent="0.25">
      <c r="A13" s="1">
        <v>100044</v>
      </c>
      <c r="B13" s="2">
        <v>45459</v>
      </c>
      <c r="C13" s="1" t="s">
        <v>49</v>
      </c>
      <c r="D13" s="1" t="s">
        <v>45</v>
      </c>
      <c r="E13" s="1" t="s">
        <v>30</v>
      </c>
      <c r="F13" s="1" t="s">
        <v>1239</v>
      </c>
      <c r="G13" s="1" t="s">
        <v>31</v>
      </c>
      <c r="H13" s="1">
        <v>1</v>
      </c>
      <c r="I13" s="1">
        <v>14.47</v>
      </c>
      <c r="J13" s="1">
        <v>0</v>
      </c>
      <c r="K13" s="1">
        <v>14.47</v>
      </c>
      <c r="L13" s="1">
        <v>3.08</v>
      </c>
      <c r="M13" s="1">
        <v>34</v>
      </c>
      <c r="N13" s="1" t="s">
        <v>26</v>
      </c>
      <c r="O13" s="1" t="s">
        <v>32</v>
      </c>
    </row>
    <row r="14" spans="1:15" x14ac:dyDescent="0.25">
      <c r="A14" s="1">
        <v>100049</v>
      </c>
      <c r="B14" s="2">
        <v>45022</v>
      </c>
      <c r="C14" s="1" t="s">
        <v>50</v>
      </c>
      <c r="D14" s="1" t="s">
        <v>37</v>
      </c>
      <c r="E14" s="1" t="s">
        <v>17</v>
      </c>
      <c r="F14" s="1" t="s">
        <v>1240</v>
      </c>
      <c r="G14" s="1" t="s">
        <v>18</v>
      </c>
      <c r="H14" s="1">
        <v>2</v>
      </c>
      <c r="I14" s="1">
        <v>64.260000000000005</v>
      </c>
      <c r="J14" s="1">
        <v>0</v>
      </c>
      <c r="K14" s="1">
        <v>128.52000000000001</v>
      </c>
      <c r="L14" s="1">
        <v>48.57</v>
      </c>
      <c r="M14" s="1">
        <v>18</v>
      </c>
      <c r="N14" s="1" t="s">
        <v>26</v>
      </c>
      <c r="O14" s="1" t="s">
        <v>51</v>
      </c>
    </row>
    <row r="15" spans="1:15" x14ac:dyDescent="0.25">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x14ac:dyDescent="0.25">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x14ac:dyDescent="0.2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x14ac:dyDescent="0.2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x14ac:dyDescent="0.25">
      <c r="A19" s="1">
        <v>100765</v>
      </c>
      <c r="B19" s="2">
        <v>45845</v>
      </c>
      <c r="C19" s="1" t="s">
        <v>58</v>
      </c>
      <c r="D19" s="1" t="s">
        <v>59</v>
      </c>
      <c r="E19" s="1" t="s">
        <v>17</v>
      </c>
      <c r="F19" s="1" t="s">
        <v>1254</v>
      </c>
      <c r="G19" s="1" t="s">
        <v>18</v>
      </c>
      <c r="H19" s="1">
        <v>3</v>
      </c>
      <c r="I19" s="1">
        <v>31</v>
      </c>
      <c r="J19" s="1">
        <v>0</v>
      </c>
      <c r="K19" s="1">
        <v>93</v>
      </c>
      <c r="L19" s="1">
        <v>32.93</v>
      </c>
      <c r="M19" s="1">
        <v>21</v>
      </c>
      <c r="N19" s="1" t="s">
        <v>19</v>
      </c>
      <c r="O19" s="1" t="s">
        <v>35</v>
      </c>
    </row>
    <row r="20" spans="1:15" x14ac:dyDescent="0.2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x14ac:dyDescent="0.25">
      <c r="A21" s="1">
        <v>100423</v>
      </c>
      <c r="B21" s="2">
        <v>45490</v>
      </c>
      <c r="C21" s="1" t="s">
        <v>61</v>
      </c>
      <c r="D21" s="1" t="s">
        <v>62</v>
      </c>
      <c r="E21" s="1" t="s">
        <v>17</v>
      </c>
      <c r="F21" s="1" t="s">
        <v>1240</v>
      </c>
      <c r="G21" s="1" t="s">
        <v>31</v>
      </c>
      <c r="H21" s="1">
        <v>5</v>
      </c>
      <c r="I21" s="1">
        <v>150.72999999999999</v>
      </c>
      <c r="J21" s="1">
        <v>5</v>
      </c>
      <c r="K21" s="1">
        <v>715.97</v>
      </c>
      <c r="L21" s="1">
        <v>194.99</v>
      </c>
      <c r="M21" s="1">
        <v>42</v>
      </c>
      <c r="N21" s="1" t="s">
        <v>19</v>
      </c>
      <c r="O21" s="1" t="s">
        <v>46</v>
      </c>
    </row>
    <row r="22" spans="1:15" x14ac:dyDescent="0.2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x14ac:dyDescent="0.25">
      <c r="A23" s="1">
        <v>100609</v>
      </c>
      <c r="B23" s="2">
        <v>45505</v>
      </c>
      <c r="C23" s="1" t="s">
        <v>65</v>
      </c>
      <c r="D23" s="1" t="s">
        <v>66</v>
      </c>
      <c r="E23" s="1" t="s">
        <v>17</v>
      </c>
      <c r="F23" s="1" t="s">
        <v>1240</v>
      </c>
      <c r="G23" s="1" t="s">
        <v>31</v>
      </c>
      <c r="H23" s="1">
        <v>6</v>
      </c>
      <c r="I23" s="1">
        <v>129.94999999999999</v>
      </c>
      <c r="J23" s="1">
        <v>0</v>
      </c>
      <c r="K23" s="1">
        <v>779.7</v>
      </c>
      <c r="L23" s="1">
        <v>212.91</v>
      </c>
      <c r="M23" s="1">
        <v>32</v>
      </c>
      <c r="N23" s="1" t="s">
        <v>26</v>
      </c>
      <c r="O23" s="1" t="s">
        <v>43</v>
      </c>
    </row>
    <row r="24" spans="1:15" x14ac:dyDescent="0.2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x14ac:dyDescent="0.25">
      <c r="A25" s="1">
        <v>100344</v>
      </c>
      <c r="B25" s="2">
        <v>45052</v>
      </c>
      <c r="C25" s="1" t="s">
        <v>69</v>
      </c>
      <c r="D25" s="1" t="s">
        <v>70</v>
      </c>
      <c r="E25" s="1" t="s">
        <v>25</v>
      </c>
      <c r="F25" s="1" t="s">
        <v>1240</v>
      </c>
      <c r="G25" s="1" t="s">
        <v>64</v>
      </c>
      <c r="H25" s="1">
        <v>3</v>
      </c>
      <c r="I25" s="1">
        <v>146.78</v>
      </c>
      <c r="J25" s="1">
        <v>0</v>
      </c>
      <c r="K25" s="1">
        <v>440.34</v>
      </c>
      <c r="L25" s="1">
        <v>112.48</v>
      </c>
      <c r="M25" s="1">
        <v>42</v>
      </c>
      <c r="N25" s="1" t="s">
        <v>26</v>
      </c>
      <c r="O25" s="1" t="s">
        <v>32</v>
      </c>
    </row>
    <row r="26" spans="1:15" x14ac:dyDescent="0.25">
      <c r="A26" s="1">
        <v>100109</v>
      </c>
      <c r="B26" s="2">
        <v>45548</v>
      </c>
      <c r="C26" s="1" t="s">
        <v>71</v>
      </c>
      <c r="D26" s="1" t="s">
        <v>59</v>
      </c>
      <c r="E26" s="1" t="s">
        <v>17</v>
      </c>
      <c r="F26" s="1" t="s">
        <v>1240</v>
      </c>
      <c r="G26" s="1" t="s">
        <v>18</v>
      </c>
      <c r="H26" s="1">
        <v>3</v>
      </c>
      <c r="I26" s="1">
        <v>28.99</v>
      </c>
      <c r="J26" s="1">
        <v>20</v>
      </c>
      <c r="K26" s="1">
        <v>69.58</v>
      </c>
      <c r="L26" s="1">
        <v>18.350000000000001</v>
      </c>
      <c r="M26" s="1">
        <v>37</v>
      </c>
      <c r="N26" s="1" t="s">
        <v>19</v>
      </c>
      <c r="O26" s="1" t="s">
        <v>35</v>
      </c>
    </row>
    <row r="27" spans="1:15" x14ac:dyDescent="0.25">
      <c r="A27" s="1">
        <v>100277</v>
      </c>
      <c r="B27" s="2">
        <v>45892</v>
      </c>
      <c r="C27" s="1" t="s">
        <v>72</v>
      </c>
      <c r="D27" s="1" t="s">
        <v>73</v>
      </c>
      <c r="E27" s="1" t="s">
        <v>25</v>
      </c>
      <c r="F27" s="1" t="s">
        <v>1240</v>
      </c>
      <c r="G27" s="1" t="s">
        <v>31</v>
      </c>
      <c r="H27" s="1">
        <v>4</v>
      </c>
      <c r="I27" s="1">
        <v>34.950000000000003</v>
      </c>
      <c r="J27" s="1">
        <v>5</v>
      </c>
      <c r="K27" s="1">
        <v>132.81</v>
      </c>
      <c r="L27" s="1">
        <v>48.4</v>
      </c>
      <c r="M27" s="1">
        <v>26</v>
      </c>
      <c r="N27" s="1" t="s">
        <v>19</v>
      </c>
      <c r="O27" s="1" t="s">
        <v>32</v>
      </c>
    </row>
    <row r="28" spans="1:15" x14ac:dyDescent="0.25">
      <c r="A28" s="1">
        <v>100677</v>
      </c>
      <c r="B28" s="2">
        <v>45661</v>
      </c>
      <c r="C28" s="1" t="s">
        <v>74</v>
      </c>
      <c r="D28" s="1" t="s">
        <v>53</v>
      </c>
      <c r="E28" s="1" t="s">
        <v>30</v>
      </c>
      <c r="F28" s="1" t="s">
        <v>1240</v>
      </c>
      <c r="G28" s="1" t="s">
        <v>48</v>
      </c>
      <c r="H28" s="1">
        <v>4</v>
      </c>
      <c r="I28" s="1">
        <v>22.08</v>
      </c>
      <c r="J28" s="1">
        <v>0</v>
      </c>
      <c r="K28" s="1">
        <v>88.32</v>
      </c>
      <c r="L28" s="1">
        <v>19.61</v>
      </c>
      <c r="M28" s="1">
        <v>24</v>
      </c>
      <c r="N28" s="1" t="s">
        <v>26</v>
      </c>
      <c r="O28" s="1" t="s">
        <v>32</v>
      </c>
    </row>
    <row r="29" spans="1:15" x14ac:dyDescent="0.25">
      <c r="A29" s="1">
        <v>100570</v>
      </c>
      <c r="B29" s="2">
        <v>45188</v>
      </c>
      <c r="C29" s="1" t="s">
        <v>75</v>
      </c>
      <c r="D29" s="1" t="s">
        <v>42</v>
      </c>
      <c r="E29" s="1" t="s">
        <v>25</v>
      </c>
      <c r="F29" s="1" t="s">
        <v>1240</v>
      </c>
      <c r="G29" s="1" t="s">
        <v>31</v>
      </c>
      <c r="H29" s="1">
        <v>3</v>
      </c>
      <c r="I29" s="1">
        <v>146.31</v>
      </c>
      <c r="J29" s="1">
        <v>10</v>
      </c>
      <c r="K29" s="1">
        <v>395.04</v>
      </c>
      <c r="L29" s="1">
        <v>83.22</v>
      </c>
      <c r="M29" s="1">
        <v>20</v>
      </c>
      <c r="N29" s="1" t="s">
        <v>26</v>
      </c>
      <c r="O29" s="1" t="s">
        <v>46</v>
      </c>
    </row>
    <row r="30" spans="1:15" x14ac:dyDescent="0.2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x14ac:dyDescent="0.2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x14ac:dyDescent="0.2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x14ac:dyDescent="0.25">
      <c r="A33" s="1">
        <v>100893</v>
      </c>
      <c r="B33" s="2">
        <v>45263</v>
      </c>
      <c r="C33" s="1" t="s">
        <v>80</v>
      </c>
      <c r="D33" s="1" t="s">
        <v>42</v>
      </c>
      <c r="E33" s="1" t="s">
        <v>25</v>
      </c>
      <c r="F33" s="1" t="s">
        <v>1254</v>
      </c>
      <c r="G33" s="1" t="s">
        <v>48</v>
      </c>
      <c r="H33" s="1">
        <v>5</v>
      </c>
      <c r="I33" s="1">
        <v>160.34</v>
      </c>
      <c r="J33" s="1">
        <v>10</v>
      </c>
      <c r="K33" s="1">
        <v>721.53</v>
      </c>
      <c r="L33" s="1">
        <v>215.58</v>
      </c>
      <c r="M33" s="1">
        <v>39</v>
      </c>
      <c r="N33" s="1" t="s">
        <v>26</v>
      </c>
      <c r="O33" s="1" t="s">
        <v>81</v>
      </c>
    </row>
    <row r="34" spans="1:15" x14ac:dyDescent="0.2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x14ac:dyDescent="0.25">
      <c r="A35" s="1">
        <v>100727</v>
      </c>
      <c r="B35" s="2">
        <v>45354</v>
      </c>
      <c r="C35" s="1" t="s">
        <v>83</v>
      </c>
      <c r="D35" s="1" t="s">
        <v>29</v>
      </c>
      <c r="E35" s="1" t="s">
        <v>30</v>
      </c>
      <c r="F35" s="1" t="s">
        <v>1240</v>
      </c>
      <c r="G35" s="1" t="s">
        <v>18</v>
      </c>
      <c r="H35" s="1">
        <v>4</v>
      </c>
      <c r="I35" s="1">
        <v>18.77</v>
      </c>
      <c r="J35" s="1">
        <v>0</v>
      </c>
      <c r="K35" s="1">
        <v>75.08</v>
      </c>
      <c r="L35" s="1">
        <v>28.42</v>
      </c>
      <c r="M35" s="1">
        <v>34</v>
      </c>
      <c r="N35" s="1" t="s">
        <v>26</v>
      </c>
      <c r="O35" s="1" t="s">
        <v>43</v>
      </c>
    </row>
    <row r="36" spans="1:15" x14ac:dyDescent="0.2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x14ac:dyDescent="0.25">
      <c r="A37" s="1">
        <v>100596</v>
      </c>
      <c r="B37" s="2">
        <v>45561</v>
      </c>
      <c r="C37" s="1" t="s">
        <v>85</v>
      </c>
      <c r="D37" s="1" t="s">
        <v>45</v>
      </c>
      <c r="E37" s="1" t="s">
        <v>30</v>
      </c>
      <c r="F37" s="1" t="s">
        <v>1240</v>
      </c>
      <c r="G37" s="1" t="s">
        <v>18</v>
      </c>
      <c r="H37" s="1">
        <v>1</v>
      </c>
      <c r="I37" s="1">
        <v>13.56</v>
      </c>
      <c r="J37" s="1">
        <v>0</v>
      </c>
      <c r="K37" s="1">
        <v>13.56</v>
      </c>
      <c r="L37" s="1">
        <v>5.32</v>
      </c>
      <c r="M37" s="1">
        <v>34</v>
      </c>
      <c r="N37" s="1" t="s">
        <v>26</v>
      </c>
      <c r="O37" s="1" t="s">
        <v>43</v>
      </c>
    </row>
    <row r="38" spans="1:15" x14ac:dyDescent="0.25">
      <c r="A38" s="1">
        <v>100427</v>
      </c>
      <c r="B38" s="2">
        <v>45043</v>
      </c>
      <c r="C38" s="1" t="s">
        <v>86</v>
      </c>
      <c r="D38" s="1" t="s">
        <v>87</v>
      </c>
      <c r="E38" s="1" t="s">
        <v>25</v>
      </c>
      <c r="F38" s="1" t="s">
        <v>1240</v>
      </c>
      <c r="G38" s="1" t="s">
        <v>18</v>
      </c>
      <c r="H38" s="1">
        <v>2</v>
      </c>
      <c r="I38" s="1">
        <v>87.17</v>
      </c>
      <c r="J38" s="1">
        <v>0</v>
      </c>
      <c r="K38" s="1">
        <v>174.34</v>
      </c>
      <c r="L38" s="1">
        <v>55.33</v>
      </c>
      <c r="M38" s="1">
        <v>26</v>
      </c>
      <c r="N38" s="1" t="s">
        <v>19</v>
      </c>
      <c r="O38" s="1" t="s">
        <v>20</v>
      </c>
    </row>
    <row r="39" spans="1:15" x14ac:dyDescent="0.2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x14ac:dyDescent="0.2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x14ac:dyDescent="0.25">
      <c r="A41" s="1">
        <v>100652</v>
      </c>
      <c r="B41" s="2">
        <v>45203</v>
      </c>
      <c r="C41" s="1" t="s">
        <v>90</v>
      </c>
      <c r="D41" s="1" t="s">
        <v>22</v>
      </c>
      <c r="E41" s="1" t="s">
        <v>17</v>
      </c>
      <c r="F41" s="1" t="s">
        <v>1240</v>
      </c>
      <c r="G41" s="1" t="s">
        <v>31</v>
      </c>
      <c r="H41" s="1">
        <v>3</v>
      </c>
      <c r="I41" s="1">
        <v>27.31</v>
      </c>
      <c r="J41" s="1">
        <v>0</v>
      </c>
      <c r="K41" s="1">
        <v>81.93</v>
      </c>
      <c r="L41" s="1">
        <v>29.76</v>
      </c>
      <c r="M41" s="1">
        <v>30</v>
      </c>
      <c r="N41" s="1" t="s">
        <v>26</v>
      </c>
      <c r="O41" s="1" t="s">
        <v>51</v>
      </c>
    </row>
    <row r="42" spans="1:15" x14ac:dyDescent="0.25">
      <c r="A42" s="1">
        <v>101065</v>
      </c>
      <c r="B42" s="2">
        <v>45757</v>
      </c>
      <c r="C42" s="1" t="s">
        <v>91</v>
      </c>
      <c r="D42" s="1" t="s">
        <v>24</v>
      </c>
      <c r="E42" s="1" t="s">
        <v>25</v>
      </c>
      <c r="F42" s="1" t="s">
        <v>1254</v>
      </c>
      <c r="G42" s="1" t="s">
        <v>64</v>
      </c>
      <c r="H42" s="1">
        <v>7</v>
      </c>
      <c r="I42" s="1">
        <v>95.23</v>
      </c>
      <c r="J42" s="1">
        <v>0</v>
      </c>
      <c r="K42" s="1">
        <v>666.61</v>
      </c>
      <c r="L42" s="1">
        <v>186.65</v>
      </c>
      <c r="M42" s="1">
        <v>24</v>
      </c>
      <c r="N42" s="1" t="s">
        <v>19</v>
      </c>
      <c r="O42" s="1" t="s">
        <v>35</v>
      </c>
    </row>
    <row r="43" spans="1:15" x14ac:dyDescent="0.2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x14ac:dyDescent="0.2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x14ac:dyDescent="0.25">
      <c r="A45" s="1">
        <v>100355</v>
      </c>
      <c r="B45" s="2">
        <v>45910</v>
      </c>
      <c r="C45" s="1" t="s">
        <v>94</v>
      </c>
      <c r="D45" s="1" t="s">
        <v>24</v>
      </c>
      <c r="E45" s="1" t="s">
        <v>25</v>
      </c>
      <c r="F45" s="1" t="s">
        <v>1239</v>
      </c>
      <c r="G45" s="1" t="s">
        <v>18</v>
      </c>
      <c r="H45" s="1">
        <v>2</v>
      </c>
      <c r="I45" s="1">
        <v>97.13</v>
      </c>
      <c r="J45" s="1">
        <v>5</v>
      </c>
      <c r="K45" s="1">
        <v>184.55</v>
      </c>
      <c r="L45" s="1">
        <v>50.99</v>
      </c>
      <c r="M45" s="1">
        <v>29</v>
      </c>
      <c r="N45" s="1" t="s">
        <v>26</v>
      </c>
      <c r="O45" s="1" t="s">
        <v>20</v>
      </c>
    </row>
    <row r="46" spans="1:15" x14ac:dyDescent="0.25">
      <c r="A46" s="1">
        <v>100950</v>
      </c>
      <c r="B46" s="2">
        <v>45517</v>
      </c>
      <c r="C46" s="1" t="s">
        <v>95</v>
      </c>
      <c r="D46" s="1" t="s">
        <v>29</v>
      </c>
      <c r="E46" s="1" t="s">
        <v>30</v>
      </c>
      <c r="F46" s="1" t="s">
        <v>1240</v>
      </c>
      <c r="G46" s="1" t="s">
        <v>48</v>
      </c>
      <c r="H46" s="1">
        <v>7</v>
      </c>
      <c r="I46" s="1">
        <v>16.89</v>
      </c>
      <c r="J46" s="1">
        <v>0</v>
      </c>
      <c r="K46" s="1">
        <v>118.23</v>
      </c>
      <c r="L46" s="1">
        <v>46.38</v>
      </c>
      <c r="M46" s="1">
        <v>22</v>
      </c>
      <c r="N46" s="1" t="s">
        <v>26</v>
      </c>
      <c r="O46" s="1" t="s">
        <v>43</v>
      </c>
    </row>
    <row r="47" spans="1:15" x14ac:dyDescent="0.25">
      <c r="A47" s="1">
        <v>100342</v>
      </c>
      <c r="B47" s="2">
        <v>44939</v>
      </c>
      <c r="C47" s="1" t="s">
        <v>96</v>
      </c>
      <c r="D47" s="1" t="s">
        <v>70</v>
      </c>
      <c r="E47" s="1" t="s">
        <v>25</v>
      </c>
      <c r="F47" s="1" t="s">
        <v>1239</v>
      </c>
      <c r="G47" s="1" t="s">
        <v>18</v>
      </c>
      <c r="H47" s="1">
        <v>4</v>
      </c>
      <c r="I47" s="1">
        <v>128.36000000000001</v>
      </c>
      <c r="J47" s="1">
        <v>0</v>
      </c>
      <c r="K47" s="1">
        <v>513.44000000000005</v>
      </c>
      <c r="L47" s="1">
        <v>113.36</v>
      </c>
      <c r="M47" s="1">
        <v>26</v>
      </c>
      <c r="N47" s="1" t="s">
        <v>19</v>
      </c>
      <c r="O47" s="1" t="s">
        <v>43</v>
      </c>
    </row>
    <row r="48" spans="1:15" x14ac:dyDescent="0.25">
      <c r="A48" s="1">
        <v>100354</v>
      </c>
      <c r="B48" s="2">
        <v>45661</v>
      </c>
      <c r="C48" s="1" t="s">
        <v>97</v>
      </c>
      <c r="D48" s="1" t="s">
        <v>42</v>
      </c>
      <c r="E48" s="1" t="s">
        <v>25</v>
      </c>
      <c r="F48" s="1" t="s">
        <v>1254</v>
      </c>
      <c r="G48" s="1" t="s">
        <v>18</v>
      </c>
      <c r="H48" s="1">
        <v>2</v>
      </c>
      <c r="I48" s="1">
        <v>172.35</v>
      </c>
      <c r="J48" s="1">
        <v>0</v>
      </c>
      <c r="K48" s="1">
        <v>344.7</v>
      </c>
      <c r="L48" s="1">
        <v>131.25</v>
      </c>
      <c r="M48" s="1">
        <v>29</v>
      </c>
      <c r="N48" s="1" t="s">
        <v>26</v>
      </c>
      <c r="O48" s="1" t="s">
        <v>35</v>
      </c>
    </row>
    <row r="49" spans="1:15" x14ac:dyDescent="0.25">
      <c r="A49" s="1">
        <v>100023</v>
      </c>
      <c r="B49" s="2">
        <v>45212</v>
      </c>
      <c r="C49" s="1" t="s">
        <v>98</v>
      </c>
      <c r="D49" s="1" t="s">
        <v>29</v>
      </c>
      <c r="E49" s="1" t="s">
        <v>30</v>
      </c>
      <c r="F49" s="1" t="s">
        <v>1254</v>
      </c>
      <c r="G49" s="1" t="s">
        <v>18</v>
      </c>
      <c r="H49" s="1">
        <v>3</v>
      </c>
      <c r="I49" s="1">
        <v>19.079999999999998</v>
      </c>
      <c r="J49" s="1">
        <v>20</v>
      </c>
      <c r="K49" s="1">
        <v>45.79</v>
      </c>
      <c r="L49" s="1">
        <v>19.61</v>
      </c>
      <c r="M49" s="1">
        <v>41</v>
      </c>
      <c r="N49" s="1" t="s">
        <v>19</v>
      </c>
      <c r="O49" s="1" t="s">
        <v>27</v>
      </c>
    </row>
    <row r="50" spans="1:15" x14ac:dyDescent="0.25">
      <c r="A50" s="1">
        <v>100043</v>
      </c>
      <c r="B50" s="2">
        <v>45373</v>
      </c>
      <c r="C50" s="1" t="s">
        <v>99</v>
      </c>
      <c r="D50" s="1" t="s">
        <v>100</v>
      </c>
      <c r="E50" s="1" t="s">
        <v>25</v>
      </c>
      <c r="F50" s="1" t="s">
        <v>1240</v>
      </c>
      <c r="G50" s="1" t="s">
        <v>48</v>
      </c>
      <c r="H50" s="1">
        <v>5</v>
      </c>
      <c r="I50" s="1">
        <v>123.22</v>
      </c>
      <c r="J50" s="1">
        <v>0</v>
      </c>
      <c r="K50" s="1">
        <v>616.1</v>
      </c>
      <c r="L50" s="1">
        <v>217.11</v>
      </c>
      <c r="M50" s="1">
        <v>24</v>
      </c>
      <c r="N50" s="1" t="s">
        <v>26</v>
      </c>
      <c r="O50" s="1" t="s">
        <v>81</v>
      </c>
    </row>
    <row r="51" spans="1:15" x14ac:dyDescent="0.2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x14ac:dyDescent="0.25">
      <c r="A52" s="1">
        <v>100737</v>
      </c>
      <c r="B52" s="2">
        <v>45648</v>
      </c>
      <c r="C52" s="1" t="s">
        <v>102</v>
      </c>
      <c r="D52" s="1" t="s">
        <v>16</v>
      </c>
      <c r="E52" s="1" t="s">
        <v>17</v>
      </c>
      <c r="F52" s="1" t="s">
        <v>1240</v>
      </c>
      <c r="G52" s="1" t="s">
        <v>18</v>
      </c>
      <c r="H52" s="1">
        <v>2</v>
      </c>
      <c r="I52" s="1">
        <v>56.88</v>
      </c>
      <c r="J52" s="1">
        <v>0</v>
      </c>
      <c r="K52" s="1">
        <v>113.76</v>
      </c>
      <c r="L52" s="1">
        <v>35.369999999999997</v>
      </c>
      <c r="M52" s="1">
        <v>23</v>
      </c>
      <c r="N52" s="1" t="s">
        <v>26</v>
      </c>
      <c r="O52" s="1" t="s">
        <v>20</v>
      </c>
    </row>
    <row r="53" spans="1:15" x14ac:dyDescent="0.2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x14ac:dyDescent="0.2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x14ac:dyDescent="0.2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x14ac:dyDescent="0.25">
      <c r="A56" s="1">
        <v>101115</v>
      </c>
      <c r="B56" s="2">
        <v>45909</v>
      </c>
      <c r="C56" s="1" t="s">
        <v>106</v>
      </c>
      <c r="D56" s="1" t="s">
        <v>77</v>
      </c>
      <c r="E56" s="1" t="s">
        <v>30</v>
      </c>
      <c r="F56" s="1" t="s">
        <v>1240</v>
      </c>
      <c r="G56" s="1" t="s">
        <v>64</v>
      </c>
      <c r="H56" s="1">
        <v>5</v>
      </c>
      <c r="I56" s="1">
        <v>38.71</v>
      </c>
      <c r="J56" s="1">
        <v>0</v>
      </c>
      <c r="K56" s="1">
        <v>193.55</v>
      </c>
      <c r="L56" s="1">
        <v>41.29</v>
      </c>
      <c r="M56" s="1">
        <v>18</v>
      </c>
      <c r="N56" s="1" t="s">
        <v>26</v>
      </c>
      <c r="O56" s="1" t="s">
        <v>32</v>
      </c>
    </row>
    <row r="57" spans="1:15" x14ac:dyDescent="0.2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x14ac:dyDescent="0.25">
      <c r="A58" s="1">
        <v>100988</v>
      </c>
      <c r="B58" s="2">
        <v>45804</v>
      </c>
      <c r="C58" s="1" t="s">
        <v>108</v>
      </c>
      <c r="D58" s="1" t="s">
        <v>53</v>
      </c>
      <c r="E58" s="1" t="s">
        <v>30</v>
      </c>
      <c r="F58" s="1" t="s">
        <v>1240</v>
      </c>
      <c r="G58" s="1" t="s">
        <v>48</v>
      </c>
      <c r="H58" s="1">
        <v>2</v>
      </c>
      <c r="I58" s="1">
        <v>19.41</v>
      </c>
      <c r="J58" s="1">
        <v>0</v>
      </c>
      <c r="K58" s="1">
        <v>38.82</v>
      </c>
      <c r="L58" s="1">
        <v>9.3800000000000008</v>
      </c>
      <c r="M58" s="1">
        <v>24</v>
      </c>
      <c r="N58" s="1" t="s">
        <v>19</v>
      </c>
      <c r="O58" s="1" t="s">
        <v>35</v>
      </c>
    </row>
    <row r="59" spans="1:15" x14ac:dyDescent="0.25">
      <c r="A59" s="1">
        <v>101172</v>
      </c>
      <c r="B59" s="2">
        <v>45903</v>
      </c>
      <c r="C59" s="1" t="s">
        <v>109</v>
      </c>
      <c r="D59" s="1" t="s">
        <v>24</v>
      </c>
      <c r="E59" s="1" t="s">
        <v>25</v>
      </c>
      <c r="F59" s="1" t="s">
        <v>1240</v>
      </c>
      <c r="G59" s="1" t="s">
        <v>31</v>
      </c>
      <c r="H59" s="1">
        <v>2</v>
      </c>
      <c r="I59" s="1">
        <v>82.12</v>
      </c>
      <c r="J59" s="1">
        <v>0</v>
      </c>
      <c r="K59" s="1">
        <v>164.24</v>
      </c>
      <c r="L59" s="1">
        <v>57.54</v>
      </c>
      <c r="M59" s="1">
        <v>51</v>
      </c>
      <c r="N59" s="1" t="s">
        <v>26</v>
      </c>
      <c r="O59" s="1" t="s">
        <v>27</v>
      </c>
    </row>
    <row r="60" spans="1:15" x14ac:dyDescent="0.25">
      <c r="A60" s="1">
        <v>101001</v>
      </c>
      <c r="B60" s="2">
        <v>45595</v>
      </c>
      <c r="C60" s="1" t="s">
        <v>110</v>
      </c>
      <c r="D60" s="1" t="s">
        <v>42</v>
      </c>
      <c r="E60" s="1" t="s">
        <v>25</v>
      </c>
      <c r="F60" s="1" t="s">
        <v>1240</v>
      </c>
      <c r="G60" s="1" t="s">
        <v>31</v>
      </c>
      <c r="H60" s="1">
        <v>3</v>
      </c>
      <c r="I60" s="1">
        <v>131.82</v>
      </c>
      <c r="J60" s="1">
        <v>10</v>
      </c>
      <c r="K60" s="1">
        <v>355.91</v>
      </c>
      <c r="L60" s="1">
        <v>114.03</v>
      </c>
      <c r="M60" s="1">
        <v>32</v>
      </c>
      <c r="N60" s="1" t="s">
        <v>26</v>
      </c>
      <c r="O60" s="1" t="s">
        <v>27</v>
      </c>
    </row>
    <row r="61" spans="1:15" x14ac:dyDescent="0.25">
      <c r="A61" s="1">
        <v>100377</v>
      </c>
      <c r="B61" s="2">
        <v>45815</v>
      </c>
      <c r="C61" s="1" t="s">
        <v>111</v>
      </c>
      <c r="D61" s="1" t="s">
        <v>45</v>
      </c>
      <c r="E61" s="1" t="s">
        <v>30</v>
      </c>
      <c r="F61" s="1" t="s">
        <v>1254</v>
      </c>
      <c r="G61" s="1" t="s">
        <v>18</v>
      </c>
      <c r="H61" s="1">
        <v>2</v>
      </c>
      <c r="I61" s="1">
        <v>15</v>
      </c>
      <c r="J61" s="1">
        <v>0</v>
      </c>
      <c r="K61" s="1">
        <v>30</v>
      </c>
      <c r="L61" s="1">
        <v>9.56</v>
      </c>
      <c r="M61" s="1">
        <v>24</v>
      </c>
      <c r="N61" s="1" t="s">
        <v>19</v>
      </c>
      <c r="O61" s="1" t="s">
        <v>46</v>
      </c>
    </row>
    <row r="62" spans="1:15" x14ac:dyDescent="0.2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x14ac:dyDescent="0.2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x14ac:dyDescent="0.2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x14ac:dyDescent="0.2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x14ac:dyDescent="0.2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x14ac:dyDescent="0.2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x14ac:dyDescent="0.25">
      <c r="A68" s="1">
        <v>100051</v>
      </c>
      <c r="B68" s="2">
        <v>45598</v>
      </c>
      <c r="C68" s="1" t="s">
        <v>118</v>
      </c>
      <c r="D68" s="1" t="s">
        <v>39</v>
      </c>
      <c r="E68" s="1" t="s">
        <v>25</v>
      </c>
      <c r="F68" s="1" t="s">
        <v>1254</v>
      </c>
      <c r="G68" s="1" t="s">
        <v>48</v>
      </c>
      <c r="H68" s="1">
        <v>2</v>
      </c>
      <c r="I68" s="1">
        <v>193.1</v>
      </c>
      <c r="J68" s="1">
        <v>0</v>
      </c>
      <c r="K68" s="1">
        <v>386.2</v>
      </c>
      <c r="L68" s="1">
        <v>111.95</v>
      </c>
      <c r="M68" s="1">
        <v>30</v>
      </c>
      <c r="N68" s="1" t="s">
        <v>19</v>
      </c>
      <c r="O68" s="1" t="s">
        <v>51</v>
      </c>
    </row>
    <row r="69" spans="1:15" x14ac:dyDescent="0.2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x14ac:dyDescent="0.2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x14ac:dyDescent="0.25">
      <c r="A71" s="1">
        <v>100490</v>
      </c>
      <c r="B71" s="2">
        <v>45154</v>
      </c>
      <c r="C71" s="1" t="s">
        <v>121</v>
      </c>
      <c r="D71" s="1" t="s">
        <v>59</v>
      </c>
      <c r="E71" s="1" t="s">
        <v>17</v>
      </c>
      <c r="F71" s="1" t="s">
        <v>1240</v>
      </c>
      <c r="G71" s="1" t="s">
        <v>18</v>
      </c>
      <c r="H71" s="1">
        <v>4</v>
      </c>
      <c r="I71" s="1">
        <v>29.52</v>
      </c>
      <c r="J71" s="1">
        <v>10</v>
      </c>
      <c r="K71" s="1">
        <v>106.27</v>
      </c>
      <c r="L71" s="1">
        <v>29.71</v>
      </c>
      <c r="M71" s="1">
        <v>33</v>
      </c>
      <c r="N71" s="1" t="s">
        <v>122</v>
      </c>
      <c r="O71" s="1" t="s">
        <v>20</v>
      </c>
    </row>
    <row r="72" spans="1:15" x14ac:dyDescent="0.25">
      <c r="A72" s="1">
        <v>100425</v>
      </c>
      <c r="B72" s="2">
        <v>45772</v>
      </c>
      <c r="C72" s="1" t="s">
        <v>123</v>
      </c>
      <c r="D72" s="1" t="s">
        <v>24</v>
      </c>
      <c r="E72" s="1" t="s">
        <v>25</v>
      </c>
      <c r="F72" s="1" t="s">
        <v>1239</v>
      </c>
      <c r="G72" s="1" t="s">
        <v>31</v>
      </c>
      <c r="H72" s="1">
        <v>2</v>
      </c>
      <c r="I72" s="1">
        <v>91.8</v>
      </c>
      <c r="J72" s="1">
        <v>0</v>
      </c>
      <c r="K72" s="1">
        <v>183.6</v>
      </c>
      <c r="L72" s="1">
        <v>31.17</v>
      </c>
      <c r="M72" s="1">
        <v>31</v>
      </c>
      <c r="N72" s="1" t="s">
        <v>19</v>
      </c>
      <c r="O72" s="1" t="s">
        <v>51</v>
      </c>
    </row>
    <row r="73" spans="1:15" x14ac:dyDescent="0.2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x14ac:dyDescent="0.25">
      <c r="A74" s="1">
        <v>101191</v>
      </c>
      <c r="B74" s="2">
        <v>45212</v>
      </c>
      <c r="C74" s="1" t="s">
        <v>125</v>
      </c>
      <c r="D74" s="1" t="s">
        <v>16</v>
      </c>
      <c r="E74" s="1" t="s">
        <v>17</v>
      </c>
      <c r="F74" s="1" t="s">
        <v>1240</v>
      </c>
      <c r="G74" s="1" t="s">
        <v>48</v>
      </c>
      <c r="H74" s="1">
        <v>5</v>
      </c>
      <c r="I74" s="1">
        <v>54.27</v>
      </c>
      <c r="J74" s="1">
        <v>0</v>
      </c>
      <c r="K74" s="1">
        <v>271.35000000000002</v>
      </c>
      <c r="L74" s="1">
        <v>74.099999999999994</v>
      </c>
      <c r="M74" s="1">
        <v>17</v>
      </c>
      <c r="N74" s="1" t="s">
        <v>26</v>
      </c>
      <c r="O74" s="1" t="s">
        <v>46</v>
      </c>
    </row>
    <row r="75" spans="1:15" x14ac:dyDescent="0.25">
      <c r="A75" s="1">
        <v>100054</v>
      </c>
      <c r="B75" s="2">
        <v>45568</v>
      </c>
      <c r="C75" s="1" t="s">
        <v>126</v>
      </c>
      <c r="D75" s="1" t="s">
        <v>37</v>
      </c>
      <c r="E75" s="1" t="s">
        <v>17</v>
      </c>
      <c r="F75" s="1" t="s">
        <v>1240</v>
      </c>
      <c r="G75" s="1" t="s">
        <v>18</v>
      </c>
      <c r="H75" s="1">
        <v>1</v>
      </c>
      <c r="I75" s="1">
        <v>74.959999999999994</v>
      </c>
      <c r="J75" s="1">
        <v>40</v>
      </c>
      <c r="K75" s="1">
        <v>44.98</v>
      </c>
      <c r="L75" s="1">
        <v>11.34</v>
      </c>
      <c r="M75" s="1">
        <v>25</v>
      </c>
      <c r="N75" s="1" t="s">
        <v>26</v>
      </c>
      <c r="O75" s="1" t="s">
        <v>43</v>
      </c>
    </row>
    <row r="76" spans="1:15" x14ac:dyDescent="0.2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x14ac:dyDescent="0.2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x14ac:dyDescent="0.25">
      <c r="A78" s="1">
        <v>100184</v>
      </c>
      <c r="B78" s="2">
        <v>45182</v>
      </c>
      <c r="C78" s="1" t="s">
        <v>129</v>
      </c>
      <c r="D78" s="1" t="s">
        <v>87</v>
      </c>
      <c r="E78" s="1" t="s">
        <v>25</v>
      </c>
      <c r="F78" s="1" t="s">
        <v>1240</v>
      </c>
      <c r="G78" s="1" t="s">
        <v>31</v>
      </c>
      <c r="H78" s="1">
        <v>2</v>
      </c>
      <c r="I78" s="1">
        <v>75.760000000000005</v>
      </c>
      <c r="J78" s="1">
        <v>10</v>
      </c>
      <c r="K78" s="1">
        <v>136.37</v>
      </c>
      <c r="L78" s="1">
        <v>38.76</v>
      </c>
      <c r="M78" s="1">
        <v>17</v>
      </c>
      <c r="N78" s="1" t="s">
        <v>19</v>
      </c>
      <c r="O78" s="1" t="s">
        <v>27</v>
      </c>
    </row>
    <row r="79" spans="1:15" x14ac:dyDescent="0.2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x14ac:dyDescent="0.25">
      <c r="A80" s="1">
        <v>100942</v>
      </c>
      <c r="B80" s="2">
        <v>45442</v>
      </c>
      <c r="C80" s="1" t="s">
        <v>131</v>
      </c>
      <c r="D80" s="1" t="s">
        <v>77</v>
      </c>
      <c r="E80" s="1" t="s">
        <v>30</v>
      </c>
      <c r="F80" s="1" t="s">
        <v>1240</v>
      </c>
      <c r="G80" s="1" t="s">
        <v>18</v>
      </c>
      <c r="H80" s="1">
        <v>4</v>
      </c>
      <c r="I80" s="1">
        <v>36.04</v>
      </c>
      <c r="J80" s="1">
        <v>0</v>
      </c>
      <c r="K80" s="1">
        <v>144.16</v>
      </c>
      <c r="L80" s="1">
        <v>60.23</v>
      </c>
      <c r="M80" s="1">
        <v>35</v>
      </c>
      <c r="N80" s="1" t="s">
        <v>19</v>
      </c>
      <c r="O80" s="1" t="s">
        <v>27</v>
      </c>
    </row>
    <row r="81" spans="1:15" x14ac:dyDescent="0.2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x14ac:dyDescent="0.2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x14ac:dyDescent="0.2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x14ac:dyDescent="0.2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x14ac:dyDescent="0.2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x14ac:dyDescent="0.25">
      <c r="A86" s="1">
        <v>100548</v>
      </c>
      <c r="B86" s="2">
        <v>45740</v>
      </c>
      <c r="C86" s="1" t="s">
        <v>137</v>
      </c>
      <c r="D86" s="1" t="s">
        <v>70</v>
      </c>
      <c r="E86" s="1" t="s">
        <v>25</v>
      </c>
      <c r="F86" s="1" t="s">
        <v>1240</v>
      </c>
      <c r="G86" s="1" t="s">
        <v>18</v>
      </c>
      <c r="H86" s="1">
        <v>1</v>
      </c>
      <c r="I86" s="1">
        <v>136.94</v>
      </c>
      <c r="J86" s="1">
        <v>0</v>
      </c>
      <c r="K86" s="1">
        <v>136.94</v>
      </c>
      <c r="L86" s="1">
        <v>32.32</v>
      </c>
      <c r="M86" s="1">
        <v>16</v>
      </c>
      <c r="N86" s="1" t="s">
        <v>26</v>
      </c>
      <c r="O86" s="1" t="s">
        <v>20</v>
      </c>
    </row>
    <row r="87" spans="1:15" x14ac:dyDescent="0.25">
      <c r="A87" s="1">
        <v>101018</v>
      </c>
      <c r="B87" s="2">
        <v>45418</v>
      </c>
      <c r="C87" s="1" t="s">
        <v>138</v>
      </c>
      <c r="D87" s="1" t="s">
        <v>53</v>
      </c>
      <c r="E87" s="1" t="s">
        <v>30</v>
      </c>
      <c r="F87" s="1" t="s">
        <v>1239</v>
      </c>
      <c r="G87" s="1" t="s">
        <v>48</v>
      </c>
      <c r="H87" s="1">
        <v>4</v>
      </c>
      <c r="I87" s="1">
        <v>22.74</v>
      </c>
      <c r="J87" s="1">
        <v>0</v>
      </c>
      <c r="K87" s="1">
        <v>90.96</v>
      </c>
      <c r="L87" s="1">
        <v>32.31</v>
      </c>
      <c r="M87" s="1">
        <v>24</v>
      </c>
      <c r="N87" s="1" t="s">
        <v>19</v>
      </c>
      <c r="O87" s="1" t="s">
        <v>32</v>
      </c>
    </row>
    <row r="88" spans="1:15" x14ac:dyDescent="0.25">
      <c r="A88" s="1">
        <v>101072</v>
      </c>
      <c r="B88" s="2">
        <v>45175</v>
      </c>
      <c r="C88" s="1" t="s">
        <v>139</v>
      </c>
      <c r="D88" s="1" t="s">
        <v>73</v>
      </c>
      <c r="E88" s="1" t="s">
        <v>25</v>
      </c>
      <c r="F88" s="1" t="s">
        <v>1240</v>
      </c>
      <c r="G88" s="1" t="s">
        <v>18</v>
      </c>
      <c r="H88" s="1">
        <v>2</v>
      </c>
      <c r="I88" s="1">
        <v>32.85</v>
      </c>
      <c r="J88" s="1">
        <v>0</v>
      </c>
      <c r="K88" s="1">
        <v>65.7</v>
      </c>
      <c r="L88" s="1">
        <v>17.73</v>
      </c>
      <c r="M88" s="1">
        <v>26</v>
      </c>
      <c r="N88" s="1" t="s">
        <v>19</v>
      </c>
      <c r="O88" s="1" t="s">
        <v>35</v>
      </c>
    </row>
    <row r="89" spans="1:15" x14ac:dyDescent="0.25">
      <c r="A89" s="1">
        <v>100174</v>
      </c>
      <c r="B89" s="2">
        <v>45573</v>
      </c>
      <c r="C89" s="1" t="s">
        <v>140</v>
      </c>
      <c r="D89" s="1" t="s">
        <v>42</v>
      </c>
      <c r="E89" s="1" t="s">
        <v>25</v>
      </c>
      <c r="F89" s="1" t="s">
        <v>1240</v>
      </c>
      <c r="G89" s="1" t="s">
        <v>31</v>
      </c>
      <c r="H89" s="1">
        <v>3</v>
      </c>
      <c r="I89" s="1">
        <v>161.69999999999999</v>
      </c>
      <c r="J89" s="1">
        <v>0</v>
      </c>
      <c r="K89" s="1">
        <v>485.1</v>
      </c>
      <c r="L89" s="1">
        <v>128.55000000000001</v>
      </c>
      <c r="M89" s="1">
        <v>32</v>
      </c>
      <c r="N89" s="1" t="s">
        <v>26</v>
      </c>
      <c r="O89" s="1" t="s">
        <v>20</v>
      </c>
    </row>
    <row r="90" spans="1:15" x14ac:dyDescent="0.25">
      <c r="A90" s="1">
        <v>101022</v>
      </c>
      <c r="B90" s="2">
        <v>45421</v>
      </c>
      <c r="C90" s="1" t="s">
        <v>141</v>
      </c>
      <c r="D90" s="1" t="s">
        <v>16</v>
      </c>
      <c r="E90" s="1" t="s">
        <v>17</v>
      </c>
      <c r="F90" s="1" t="s">
        <v>1240</v>
      </c>
      <c r="G90" s="1" t="s">
        <v>31</v>
      </c>
      <c r="H90" s="1">
        <v>2</v>
      </c>
      <c r="I90" s="1">
        <v>59.29</v>
      </c>
      <c r="J90" s="1">
        <v>40</v>
      </c>
      <c r="K90" s="1">
        <v>71.150000000000006</v>
      </c>
      <c r="L90" s="1">
        <v>25.9</v>
      </c>
      <c r="M90" s="1">
        <v>21</v>
      </c>
      <c r="N90" s="1" t="s">
        <v>26</v>
      </c>
      <c r="O90" s="1" t="s">
        <v>20</v>
      </c>
    </row>
    <row r="91" spans="1:15" x14ac:dyDescent="0.2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x14ac:dyDescent="0.2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x14ac:dyDescent="0.2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x14ac:dyDescent="0.2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x14ac:dyDescent="0.25">
      <c r="A95" s="1">
        <v>100381</v>
      </c>
      <c r="B95" s="2">
        <v>45202</v>
      </c>
      <c r="C95" s="1" t="s">
        <v>146</v>
      </c>
      <c r="D95" s="1" t="s">
        <v>34</v>
      </c>
      <c r="E95" s="1" t="s">
        <v>30</v>
      </c>
      <c r="F95" s="1" t="s">
        <v>1240</v>
      </c>
      <c r="G95" s="1" t="s">
        <v>18</v>
      </c>
      <c r="H95" s="1">
        <v>4</v>
      </c>
      <c r="I95" s="1">
        <v>64.819999999999993</v>
      </c>
      <c r="J95" s="1">
        <v>0</v>
      </c>
      <c r="K95" s="1">
        <v>259.27999999999997</v>
      </c>
      <c r="L95" s="1">
        <v>65.5</v>
      </c>
      <c r="M95" s="1">
        <v>36</v>
      </c>
      <c r="N95" s="1" t="s">
        <v>19</v>
      </c>
      <c r="O95" s="1" t="s">
        <v>32</v>
      </c>
    </row>
    <row r="96" spans="1:15" x14ac:dyDescent="0.2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x14ac:dyDescent="0.2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x14ac:dyDescent="0.2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x14ac:dyDescent="0.25">
      <c r="A99" s="1">
        <v>100909</v>
      </c>
      <c r="B99" s="2">
        <v>45731</v>
      </c>
      <c r="C99" s="1" t="s">
        <v>150</v>
      </c>
      <c r="D99" s="1" t="s">
        <v>22</v>
      </c>
      <c r="E99" s="1" t="s">
        <v>17</v>
      </c>
      <c r="F99" s="1" t="s">
        <v>1240</v>
      </c>
      <c r="G99" s="1" t="s">
        <v>18</v>
      </c>
      <c r="H99" s="1">
        <v>2</v>
      </c>
      <c r="I99" s="1">
        <v>25.83</v>
      </c>
      <c r="J99" s="1">
        <v>0</v>
      </c>
      <c r="K99" s="1">
        <v>51.66</v>
      </c>
      <c r="L99" s="1">
        <v>11.22</v>
      </c>
      <c r="M99" s="1">
        <v>23</v>
      </c>
      <c r="N99" s="1" t="s">
        <v>26</v>
      </c>
      <c r="O99" s="1" t="s">
        <v>51</v>
      </c>
    </row>
    <row r="100" spans="1:15" x14ac:dyDescent="0.2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x14ac:dyDescent="0.25">
      <c r="A101" s="1">
        <v>100123</v>
      </c>
      <c r="B101" s="2">
        <v>45744</v>
      </c>
      <c r="C101" s="1" t="s">
        <v>152</v>
      </c>
      <c r="D101" s="1" t="s">
        <v>42</v>
      </c>
      <c r="E101" s="1" t="s">
        <v>25</v>
      </c>
      <c r="F101" s="1" t="s">
        <v>1254</v>
      </c>
      <c r="G101" s="1" t="s">
        <v>18</v>
      </c>
      <c r="H101" s="1">
        <v>4</v>
      </c>
      <c r="I101" s="1">
        <v>159.31</v>
      </c>
      <c r="J101" s="1">
        <v>10</v>
      </c>
      <c r="K101" s="1">
        <v>573.52</v>
      </c>
      <c r="L101" s="1">
        <v>164.35</v>
      </c>
      <c r="M101" s="1">
        <v>21</v>
      </c>
      <c r="N101" s="1" t="s">
        <v>26</v>
      </c>
      <c r="O101" s="1" t="s">
        <v>51</v>
      </c>
    </row>
    <row r="102" spans="1:15" x14ac:dyDescent="0.2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x14ac:dyDescent="0.25">
      <c r="A103" s="1">
        <v>100140</v>
      </c>
      <c r="B103" s="2">
        <v>44934</v>
      </c>
      <c r="C103" s="1" t="s">
        <v>154</v>
      </c>
      <c r="D103" s="1" t="s">
        <v>73</v>
      </c>
      <c r="E103" s="1" t="s">
        <v>25</v>
      </c>
      <c r="F103" s="1" t="s">
        <v>1240</v>
      </c>
      <c r="G103" s="1" t="s">
        <v>18</v>
      </c>
      <c r="H103" s="1">
        <v>1</v>
      </c>
      <c r="I103" s="1">
        <v>36.07</v>
      </c>
      <c r="J103" s="1">
        <v>5</v>
      </c>
      <c r="K103" s="1">
        <v>34.270000000000003</v>
      </c>
      <c r="L103" s="1">
        <v>6.22</v>
      </c>
      <c r="M103" s="1">
        <v>34</v>
      </c>
      <c r="N103" s="1" t="s">
        <v>26</v>
      </c>
      <c r="O103" s="1" t="s">
        <v>43</v>
      </c>
    </row>
    <row r="104" spans="1:15" x14ac:dyDescent="0.2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x14ac:dyDescent="0.25">
      <c r="A105" s="1">
        <v>100081</v>
      </c>
      <c r="B105" s="2">
        <v>45197</v>
      </c>
      <c r="C105" s="1" t="s">
        <v>156</v>
      </c>
      <c r="D105" s="1" t="s">
        <v>24</v>
      </c>
      <c r="E105" s="1" t="s">
        <v>25</v>
      </c>
      <c r="F105" s="1" t="s">
        <v>1240</v>
      </c>
      <c r="G105" s="1" t="s">
        <v>18</v>
      </c>
      <c r="H105" s="1">
        <v>3</v>
      </c>
      <c r="I105" s="1">
        <v>105.4</v>
      </c>
      <c r="J105" s="1">
        <v>20</v>
      </c>
      <c r="K105" s="1">
        <v>252.96</v>
      </c>
      <c r="L105" s="1">
        <v>54</v>
      </c>
      <c r="M105" s="1">
        <v>41</v>
      </c>
      <c r="N105" s="1" t="s">
        <v>26</v>
      </c>
      <c r="O105" s="1" t="s">
        <v>46</v>
      </c>
    </row>
    <row r="106" spans="1:15" x14ac:dyDescent="0.2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x14ac:dyDescent="0.2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x14ac:dyDescent="0.25">
      <c r="A108" s="1">
        <v>101101</v>
      </c>
      <c r="B108" s="2">
        <v>45612</v>
      </c>
      <c r="C108" s="1" t="s">
        <v>159</v>
      </c>
      <c r="D108" s="1" t="s">
        <v>22</v>
      </c>
      <c r="E108" s="1" t="s">
        <v>17</v>
      </c>
      <c r="F108" s="1" t="s">
        <v>1240</v>
      </c>
      <c r="G108" s="1" t="s">
        <v>48</v>
      </c>
      <c r="H108" s="1">
        <v>1</v>
      </c>
      <c r="I108" s="1">
        <v>25.42</v>
      </c>
      <c r="J108" s="1">
        <v>20</v>
      </c>
      <c r="K108" s="1">
        <v>20.34</v>
      </c>
      <c r="L108" s="1">
        <v>4.04</v>
      </c>
      <c r="M108" s="1">
        <v>39</v>
      </c>
      <c r="N108" s="1" t="s">
        <v>26</v>
      </c>
      <c r="O108" s="1" t="s">
        <v>20</v>
      </c>
    </row>
    <row r="109" spans="1:15" x14ac:dyDescent="0.25">
      <c r="A109" s="1">
        <v>100908</v>
      </c>
      <c r="B109" s="2">
        <v>45318</v>
      </c>
      <c r="C109" s="1" t="s">
        <v>160</v>
      </c>
      <c r="D109" s="1" t="s">
        <v>39</v>
      </c>
      <c r="E109" s="1" t="s">
        <v>25</v>
      </c>
      <c r="F109" s="1" t="s">
        <v>1240</v>
      </c>
      <c r="G109" s="1" t="s">
        <v>31</v>
      </c>
      <c r="H109" s="1">
        <v>2</v>
      </c>
      <c r="I109" s="1">
        <v>181.59</v>
      </c>
      <c r="J109" s="1">
        <v>20</v>
      </c>
      <c r="K109" s="1">
        <v>290.54000000000002</v>
      </c>
      <c r="L109" s="1">
        <v>96.12</v>
      </c>
      <c r="M109" s="1">
        <v>24</v>
      </c>
      <c r="N109" s="1" t="s">
        <v>26</v>
      </c>
      <c r="O109" s="1" t="s">
        <v>27</v>
      </c>
    </row>
    <row r="110" spans="1:15" x14ac:dyDescent="0.25">
      <c r="A110" s="1">
        <v>101166</v>
      </c>
      <c r="B110" s="2">
        <v>45581</v>
      </c>
      <c r="C110" s="1" t="s">
        <v>161</v>
      </c>
      <c r="D110" s="1" t="s">
        <v>87</v>
      </c>
      <c r="E110" s="1" t="s">
        <v>25</v>
      </c>
      <c r="F110" s="1" t="s">
        <v>1254</v>
      </c>
      <c r="G110" s="1" t="s">
        <v>31</v>
      </c>
      <c r="H110" s="1">
        <v>2</v>
      </c>
      <c r="I110" s="1">
        <v>74.08</v>
      </c>
      <c r="J110" s="1">
        <v>0</v>
      </c>
      <c r="K110" s="1">
        <v>148.16</v>
      </c>
      <c r="L110" s="1">
        <v>37.58</v>
      </c>
      <c r="M110" s="1">
        <v>41</v>
      </c>
      <c r="N110" s="1" t="s">
        <v>19</v>
      </c>
      <c r="O110" s="1" t="s">
        <v>46</v>
      </c>
    </row>
    <row r="111" spans="1:15" x14ac:dyDescent="0.25">
      <c r="A111" s="1">
        <v>100936</v>
      </c>
      <c r="B111" s="2">
        <v>45743</v>
      </c>
      <c r="C111" s="1" t="s">
        <v>162</v>
      </c>
      <c r="D111" s="1" t="s">
        <v>42</v>
      </c>
      <c r="E111" s="1" t="s">
        <v>25</v>
      </c>
      <c r="F111" s="1" t="s">
        <v>1240</v>
      </c>
      <c r="G111" s="1" t="s">
        <v>31</v>
      </c>
      <c r="H111" s="1">
        <v>2</v>
      </c>
      <c r="I111" s="1">
        <v>170.34</v>
      </c>
      <c r="J111" s="1">
        <v>0</v>
      </c>
      <c r="K111" s="1">
        <v>340.68</v>
      </c>
      <c r="L111" s="1">
        <v>87.76</v>
      </c>
      <c r="M111" s="1">
        <v>16</v>
      </c>
      <c r="N111" s="1" t="s">
        <v>19</v>
      </c>
      <c r="O111" s="1" t="s">
        <v>43</v>
      </c>
    </row>
    <row r="112" spans="1:15" x14ac:dyDescent="0.25">
      <c r="A112" s="1">
        <v>100371</v>
      </c>
      <c r="B112" s="2">
        <v>45921</v>
      </c>
      <c r="C112" s="1" t="s">
        <v>163</v>
      </c>
      <c r="D112" s="1" t="s">
        <v>77</v>
      </c>
      <c r="E112" s="1" t="s">
        <v>30</v>
      </c>
      <c r="F112" s="1" t="s">
        <v>1240</v>
      </c>
      <c r="G112" s="1" t="s">
        <v>18</v>
      </c>
      <c r="H112" s="1">
        <v>3</v>
      </c>
      <c r="I112" s="1">
        <v>39.229999999999997</v>
      </c>
      <c r="J112" s="1">
        <v>20</v>
      </c>
      <c r="K112" s="1">
        <v>94.15</v>
      </c>
      <c r="L112" s="1">
        <v>24.67</v>
      </c>
      <c r="M112" s="1">
        <v>18</v>
      </c>
      <c r="N112" s="1" t="s">
        <v>26</v>
      </c>
      <c r="O112" s="1" t="s">
        <v>46</v>
      </c>
    </row>
    <row r="113" spans="1:15" x14ac:dyDescent="0.25">
      <c r="A113" s="1">
        <v>100889</v>
      </c>
      <c r="B113" s="2">
        <v>45246</v>
      </c>
      <c r="C113" s="1" t="s">
        <v>164</v>
      </c>
      <c r="D113" s="1" t="s">
        <v>77</v>
      </c>
      <c r="E113" s="1" t="s">
        <v>30</v>
      </c>
      <c r="F113" s="1" t="s">
        <v>1239</v>
      </c>
      <c r="G113" s="1" t="s">
        <v>31</v>
      </c>
      <c r="H113" s="1">
        <v>4</v>
      </c>
      <c r="I113" s="1">
        <v>40.94</v>
      </c>
      <c r="J113" s="1">
        <v>5</v>
      </c>
      <c r="K113" s="1">
        <v>155.57</v>
      </c>
      <c r="L113" s="1">
        <v>37.51</v>
      </c>
      <c r="M113" s="1">
        <v>35</v>
      </c>
      <c r="N113" s="1" t="s">
        <v>26</v>
      </c>
      <c r="O113" s="1" t="s">
        <v>35</v>
      </c>
    </row>
    <row r="114" spans="1:15" x14ac:dyDescent="0.2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x14ac:dyDescent="0.2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x14ac:dyDescent="0.2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x14ac:dyDescent="0.25">
      <c r="A117" s="1">
        <v>101037</v>
      </c>
      <c r="B117" s="2">
        <v>45179</v>
      </c>
      <c r="C117" s="1" t="s">
        <v>168</v>
      </c>
      <c r="D117" s="1" t="s">
        <v>66</v>
      </c>
      <c r="E117" s="1" t="s">
        <v>17</v>
      </c>
      <c r="F117" s="1" t="s">
        <v>1240</v>
      </c>
      <c r="G117" s="1" t="s">
        <v>18</v>
      </c>
      <c r="H117" s="1">
        <v>2</v>
      </c>
      <c r="I117" s="1">
        <v>121.14</v>
      </c>
      <c r="J117" s="1">
        <v>0</v>
      </c>
      <c r="K117" s="1">
        <v>242.28</v>
      </c>
      <c r="L117" s="1">
        <v>77.25</v>
      </c>
      <c r="M117" s="1">
        <v>16</v>
      </c>
      <c r="N117" s="1" t="s">
        <v>19</v>
      </c>
      <c r="O117" s="1" t="s">
        <v>43</v>
      </c>
    </row>
    <row r="118" spans="1:15" x14ac:dyDescent="0.2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x14ac:dyDescent="0.2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x14ac:dyDescent="0.25">
      <c r="A120" s="1">
        <v>100745</v>
      </c>
      <c r="B120" s="2">
        <v>45083</v>
      </c>
      <c r="C120" s="1" t="s">
        <v>171</v>
      </c>
      <c r="D120" s="1" t="s">
        <v>16</v>
      </c>
      <c r="E120" s="1" t="s">
        <v>17</v>
      </c>
      <c r="F120" s="1" t="s">
        <v>1240</v>
      </c>
      <c r="G120" s="1" t="s">
        <v>18</v>
      </c>
      <c r="H120" s="1">
        <v>2</v>
      </c>
      <c r="I120" s="1">
        <v>51.59</v>
      </c>
      <c r="J120" s="1">
        <v>0</v>
      </c>
      <c r="K120" s="1">
        <v>103.18</v>
      </c>
      <c r="L120" s="1">
        <v>16.66</v>
      </c>
      <c r="M120" s="1">
        <v>36</v>
      </c>
      <c r="N120" s="1" t="s">
        <v>19</v>
      </c>
      <c r="O120" s="1" t="s">
        <v>46</v>
      </c>
    </row>
    <row r="121" spans="1:15" x14ac:dyDescent="0.2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x14ac:dyDescent="0.25">
      <c r="A122" s="1">
        <v>100533</v>
      </c>
      <c r="B122" s="2">
        <v>45924</v>
      </c>
      <c r="C122" s="1" t="s">
        <v>173</v>
      </c>
      <c r="D122" s="1" t="s">
        <v>37</v>
      </c>
      <c r="E122" s="1" t="s">
        <v>17</v>
      </c>
      <c r="F122" s="1" t="s">
        <v>1239</v>
      </c>
      <c r="G122" s="1" t="s">
        <v>18</v>
      </c>
      <c r="H122" s="1">
        <v>3</v>
      </c>
      <c r="I122" s="1">
        <v>64.42</v>
      </c>
      <c r="J122" s="1">
        <v>5</v>
      </c>
      <c r="K122" s="1">
        <v>183.6</v>
      </c>
      <c r="L122" s="1">
        <v>64.400000000000006</v>
      </c>
      <c r="M122" s="1">
        <v>31</v>
      </c>
      <c r="N122" s="1" t="s">
        <v>122</v>
      </c>
      <c r="O122" s="1" t="s">
        <v>51</v>
      </c>
    </row>
    <row r="123" spans="1:15" x14ac:dyDescent="0.25">
      <c r="A123" s="1">
        <v>100903</v>
      </c>
      <c r="B123" s="2">
        <v>45098</v>
      </c>
      <c r="C123" s="1" t="s">
        <v>174</v>
      </c>
      <c r="D123" s="1" t="s">
        <v>56</v>
      </c>
      <c r="E123" s="1" t="s">
        <v>30</v>
      </c>
      <c r="F123" s="1" t="s">
        <v>1254</v>
      </c>
      <c r="G123" s="1" t="s">
        <v>31</v>
      </c>
      <c r="H123" s="1">
        <v>1</v>
      </c>
      <c r="I123" s="1">
        <v>45.52</v>
      </c>
      <c r="J123" s="1">
        <v>5</v>
      </c>
      <c r="K123" s="1">
        <v>43.24</v>
      </c>
      <c r="L123" s="1">
        <v>16.05</v>
      </c>
      <c r="M123" s="1">
        <v>34</v>
      </c>
      <c r="N123" s="1" t="s">
        <v>26</v>
      </c>
      <c r="O123" s="1" t="s">
        <v>46</v>
      </c>
    </row>
    <row r="124" spans="1:15" x14ac:dyDescent="0.2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x14ac:dyDescent="0.2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x14ac:dyDescent="0.2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x14ac:dyDescent="0.2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x14ac:dyDescent="0.2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x14ac:dyDescent="0.25">
      <c r="A129" s="1">
        <v>100128</v>
      </c>
      <c r="B129" s="2">
        <v>45391</v>
      </c>
      <c r="C129" s="1" t="s">
        <v>180</v>
      </c>
      <c r="D129" s="1" t="s">
        <v>56</v>
      </c>
      <c r="E129" s="1" t="s">
        <v>30</v>
      </c>
      <c r="F129" s="1" t="s">
        <v>1240</v>
      </c>
      <c r="G129" s="1" t="s">
        <v>31</v>
      </c>
      <c r="H129" s="1">
        <v>1</v>
      </c>
      <c r="I129" s="1">
        <v>41</v>
      </c>
      <c r="J129" s="1">
        <v>0</v>
      </c>
      <c r="K129" s="1">
        <v>41</v>
      </c>
      <c r="L129" s="1">
        <v>18.559999999999999</v>
      </c>
      <c r="M129" s="1">
        <v>33</v>
      </c>
      <c r="N129" s="1" t="s">
        <v>19</v>
      </c>
      <c r="O129" s="1" t="s">
        <v>51</v>
      </c>
    </row>
    <row r="130" spans="1:15" x14ac:dyDescent="0.25">
      <c r="A130" s="1">
        <v>100694</v>
      </c>
      <c r="B130" s="2">
        <v>45321</v>
      </c>
      <c r="C130" s="1" t="s">
        <v>181</v>
      </c>
      <c r="D130" s="1" t="s">
        <v>66</v>
      </c>
      <c r="E130" s="1" t="s">
        <v>17</v>
      </c>
      <c r="F130" s="1" t="s">
        <v>1240</v>
      </c>
      <c r="G130" s="1" t="s">
        <v>31</v>
      </c>
      <c r="H130" s="1">
        <v>3</v>
      </c>
      <c r="I130" s="1">
        <v>105.09</v>
      </c>
      <c r="J130" s="1">
        <v>0</v>
      </c>
      <c r="K130" s="1">
        <v>315.27</v>
      </c>
      <c r="L130" s="1">
        <v>121.3</v>
      </c>
      <c r="M130" s="1">
        <v>33</v>
      </c>
      <c r="N130" s="1" t="s">
        <v>19</v>
      </c>
      <c r="O130" s="1" t="s">
        <v>51</v>
      </c>
    </row>
    <row r="131" spans="1:15" x14ac:dyDescent="0.2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x14ac:dyDescent="0.2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x14ac:dyDescent="0.25">
      <c r="A133" s="1">
        <v>101147</v>
      </c>
      <c r="B133" s="2">
        <v>45922</v>
      </c>
      <c r="C133" s="1" t="s">
        <v>184</v>
      </c>
      <c r="D133" s="1" t="s">
        <v>53</v>
      </c>
      <c r="E133" s="1" t="s">
        <v>30</v>
      </c>
      <c r="F133" s="1" t="s">
        <v>1240</v>
      </c>
      <c r="G133" s="1" t="s">
        <v>18</v>
      </c>
      <c r="H133" s="1">
        <v>4</v>
      </c>
      <c r="I133" s="1">
        <v>22.37</v>
      </c>
      <c r="J133" s="1">
        <v>10</v>
      </c>
      <c r="K133" s="1">
        <v>80.53</v>
      </c>
      <c r="L133" s="1">
        <v>21.97</v>
      </c>
      <c r="M133" s="1">
        <v>18</v>
      </c>
      <c r="N133" s="1" t="s">
        <v>19</v>
      </c>
      <c r="O133" s="1" t="s">
        <v>51</v>
      </c>
    </row>
    <row r="134" spans="1:15" x14ac:dyDescent="0.25">
      <c r="A134" s="1">
        <v>100308</v>
      </c>
      <c r="B134" s="2">
        <v>45830</v>
      </c>
      <c r="C134" s="1" t="s">
        <v>185</v>
      </c>
      <c r="D134" s="1" t="s">
        <v>16</v>
      </c>
      <c r="E134" s="1" t="s">
        <v>17</v>
      </c>
      <c r="F134" s="1" t="s">
        <v>1239</v>
      </c>
      <c r="G134" s="1" t="s">
        <v>18</v>
      </c>
      <c r="H134" s="1">
        <v>3</v>
      </c>
      <c r="I134" s="1">
        <v>60.76</v>
      </c>
      <c r="J134" s="1">
        <v>20</v>
      </c>
      <c r="K134" s="1">
        <v>145.82</v>
      </c>
      <c r="L134" s="1">
        <v>35.86</v>
      </c>
      <c r="M134" s="1">
        <v>37</v>
      </c>
      <c r="N134" s="1" t="s">
        <v>19</v>
      </c>
      <c r="O134" s="1" t="s">
        <v>20</v>
      </c>
    </row>
    <row r="135" spans="1:15" x14ac:dyDescent="0.2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x14ac:dyDescent="0.25">
      <c r="A136" s="1">
        <v>101047</v>
      </c>
      <c r="B136" s="2">
        <v>45442</v>
      </c>
      <c r="C136" s="1" t="s">
        <v>187</v>
      </c>
      <c r="D136" s="1" t="s">
        <v>56</v>
      </c>
      <c r="E136" s="1" t="s">
        <v>30</v>
      </c>
      <c r="F136" s="1" t="s">
        <v>1254</v>
      </c>
      <c r="G136" s="1" t="s">
        <v>18</v>
      </c>
      <c r="H136" s="1">
        <v>4</v>
      </c>
      <c r="I136" s="1">
        <v>46.38</v>
      </c>
      <c r="J136" s="1">
        <v>40</v>
      </c>
      <c r="K136" s="1">
        <v>111.31</v>
      </c>
      <c r="L136" s="1">
        <v>39.92</v>
      </c>
      <c r="M136" s="1">
        <v>27</v>
      </c>
      <c r="N136" s="1" t="s">
        <v>26</v>
      </c>
      <c r="O136" s="1" t="s">
        <v>27</v>
      </c>
    </row>
    <row r="137" spans="1:15" x14ac:dyDescent="0.2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x14ac:dyDescent="0.25">
      <c r="A138" s="1">
        <v>100643</v>
      </c>
      <c r="B138" s="2">
        <v>45288</v>
      </c>
      <c r="C138" s="1" t="s">
        <v>189</v>
      </c>
      <c r="D138" s="1" t="s">
        <v>16</v>
      </c>
      <c r="E138" s="1" t="s">
        <v>17</v>
      </c>
      <c r="F138" s="1" t="s">
        <v>1240</v>
      </c>
      <c r="G138" s="1" t="s">
        <v>64</v>
      </c>
      <c r="H138" s="1">
        <v>3</v>
      </c>
      <c r="I138" s="1">
        <v>57.22</v>
      </c>
      <c r="J138" s="1">
        <v>5</v>
      </c>
      <c r="K138" s="1">
        <v>163.08000000000001</v>
      </c>
      <c r="L138" s="1">
        <v>47.09</v>
      </c>
      <c r="M138" s="1">
        <v>25</v>
      </c>
      <c r="N138" s="1" t="s">
        <v>19</v>
      </c>
      <c r="O138" s="1" t="s">
        <v>20</v>
      </c>
    </row>
    <row r="139" spans="1:15" x14ac:dyDescent="0.2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x14ac:dyDescent="0.2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x14ac:dyDescent="0.2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x14ac:dyDescent="0.2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x14ac:dyDescent="0.2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x14ac:dyDescent="0.2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x14ac:dyDescent="0.25">
      <c r="A145" s="1">
        <v>100636</v>
      </c>
      <c r="B145" s="2">
        <v>45222</v>
      </c>
      <c r="C145" s="1" t="s">
        <v>196</v>
      </c>
      <c r="D145" s="1" t="s">
        <v>68</v>
      </c>
      <c r="E145" s="1" t="s">
        <v>25</v>
      </c>
      <c r="F145" s="1" t="s">
        <v>1240</v>
      </c>
      <c r="G145" s="1" t="s">
        <v>18</v>
      </c>
      <c r="H145" s="1">
        <v>3</v>
      </c>
      <c r="I145" s="1">
        <v>228.65</v>
      </c>
      <c r="J145" s="1">
        <v>10</v>
      </c>
      <c r="K145" s="1">
        <v>617.36</v>
      </c>
      <c r="L145" s="1">
        <v>202.8</v>
      </c>
      <c r="M145" s="1">
        <v>34</v>
      </c>
      <c r="N145" s="1" t="s">
        <v>19</v>
      </c>
      <c r="O145" s="1" t="s">
        <v>46</v>
      </c>
    </row>
    <row r="146" spans="1:15" x14ac:dyDescent="0.2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x14ac:dyDescent="0.2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x14ac:dyDescent="0.25">
      <c r="A148" s="1">
        <v>100717</v>
      </c>
      <c r="B148" s="2">
        <v>45017</v>
      </c>
      <c r="C148" s="1" t="s">
        <v>199</v>
      </c>
      <c r="D148" s="1" t="s">
        <v>39</v>
      </c>
      <c r="E148" s="1" t="s">
        <v>25</v>
      </c>
      <c r="F148" s="1" t="s">
        <v>1254</v>
      </c>
      <c r="G148" s="1" t="s">
        <v>18</v>
      </c>
      <c r="H148" s="1">
        <v>3</v>
      </c>
      <c r="I148" s="1">
        <v>164.39</v>
      </c>
      <c r="J148" s="1">
        <v>5</v>
      </c>
      <c r="K148" s="1">
        <v>468.51</v>
      </c>
      <c r="L148" s="1">
        <v>126.16</v>
      </c>
      <c r="M148" s="1">
        <v>24</v>
      </c>
      <c r="N148" s="1" t="s">
        <v>19</v>
      </c>
      <c r="O148" s="1" t="s">
        <v>35</v>
      </c>
    </row>
    <row r="149" spans="1:15" x14ac:dyDescent="0.25">
      <c r="A149" s="1">
        <v>100666</v>
      </c>
      <c r="B149" s="2">
        <v>45013</v>
      </c>
      <c r="C149" s="1" t="s">
        <v>200</v>
      </c>
      <c r="D149" s="1" t="s">
        <v>29</v>
      </c>
      <c r="E149" s="1" t="s">
        <v>30</v>
      </c>
      <c r="F149" s="1" t="s">
        <v>1240</v>
      </c>
      <c r="G149" s="1" t="s">
        <v>18</v>
      </c>
      <c r="H149" s="1">
        <v>3</v>
      </c>
      <c r="I149" s="1">
        <v>14.85</v>
      </c>
      <c r="J149" s="1">
        <v>0</v>
      </c>
      <c r="K149" s="1">
        <v>44.55</v>
      </c>
      <c r="L149" s="1">
        <v>18.43</v>
      </c>
      <c r="M149" s="1">
        <v>37</v>
      </c>
      <c r="N149" s="1" t="s">
        <v>19</v>
      </c>
      <c r="O149" s="1" t="s">
        <v>51</v>
      </c>
    </row>
    <row r="150" spans="1:15" x14ac:dyDescent="0.25">
      <c r="A150" s="1">
        <v>100597</v>
      </c>
      <c r="B150" s="2">
        <v>45801</v>
      </c>
      <c r="C150" s="1" t="s">
        <v>201</v>
      </c>
      <c r="D150" s="1" t="s">
        <v>70</v>
      </c>
      <c r="E150" s="1" t="s">
        <v>25</v>
      </c>
      <c r="F150" s="1" t="s">
        <v>1254</v>
      </c>
      <c r="G150" s="1" t="s">
        <v>18</v>
      </c>
      <c r="H150" s="1">
        <v>4</v>
      </c>
      <c r="I150" s="1">
        <v>163.38999999999999</v>
      </c>
      <c r="J150" s="1">
        <v>0</v>
      </c>
      <c r="K150" s="1">
        <v>653.55999999999995</v>
      </c>
      <c r="L150" s="1">
        <v>153.12</v>
      </c>
      <c r="M150" s="1">
        <v>44</v>
      </c>
      <c r="N150" s="1" t="s">
        <v>19</v>
      </c>
      <c r="O150" s="1" t="s">
        <v>81</v>
      </c>
    </row>
    <row r="151" spans="1:15" x14ac:dyDescent="0.25">
      <c r="A151" s="1">
        <v>100481</v>
      </c>
      <c r="B151" s="2">
        <v>45850</v>
      </c>
      <c r="C151" s="1" t="s">
        <v>202</v>
      </c>
      <c r="D151" s="1" t="s">
        <v>100</v>
      </c>
      <c r="E151" s="1" t="s">
        <v>25</v>
      </c>
      <c r="F151" s="1" t="s">
        <v>1240</v>
      </c>
      <c r="G151" s="1" t="s">
        <v>64</v>
      </c>
      <c r="H151" s="1">
        <v>3</v>
      </c>
      <c r="I151" s="1">
        <v>116.64</v>
      </c>
      <c r="J151" s="1">
        <v>0</v>
      </c>
      <c r="K151" s="1">
        <v>349.92</v>
      </c>
      <c r="L151" s="1">
        <v>99.73</v>
      </c>
      <c r="M151" s="1">
        <v>29</v>
      </c>
      <c r="N151" s="1" t="s">
        <v>19</v>
      </c>
      <c r="O151" s="1" t="s">
        <v>32</v>
      </c>
    </row>
    <row r="152" spans="1:15" x14ac:dyDescent="0.2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x14ac:dyDescent="0.25">
      <c r="A153" s="1">
        <v>100314</v>
      </c>
      <c r="B153" s="2">
        <v>45807</v>
      </c>
      <c r="C153" s="1" t="s">
        <v>204</v>
      </c>
      <c r="D153" s="1" t="s">
        <v>73</v>
      </c>
      <c r="E153" s="1" t="s">
        <v>25</v>
      </c>
      <c r="F153" s="1" t="s">
        <v>1240</v>
      </c>
      <c r="G153" s="1" t="s">
        <v>31</v>
      </c>
      <c r="H153" s="1">
        <v>1</v>
      </c>
      <c r="I153" s="1">
        <v>36.619999999999997</v>
      </c>
      <c r="J153" s="1">
        <v>10</v>
      </c>
      <c r="K153" s="1">
        <v>32.96</v>
      </c>
      <c r="L153" s="1">
        <v>10.42</v>
      </c>
      <c r="M153" s="1">
        <v>23</v>
      </c>
      <c r="N153" s="1" t="s">
        <v>19</v>
      </c>
      <c r="O153" s="1" t="s">
        <v>32</v>
      </c>
    </row>
    <row r="154" spans="1:15" x14ac:dyDescent="0.2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x14ac:dyDescent="0.2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x14ac:dyDescent="0.2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x14ac:dyDescent="0.2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x14ac:dyDescent="0.2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x14ac:dyDescent="0.2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x14ac:dyDescent="0.25">
      <c r="A160" s="1">
        <v>101116</v>
      </c>
      <c r="B160" s="2">
        <v>45058</v>
      </c>
      <c r="C160" s="1" t="s">
        <v>211</v>
      </c>
      <c r="D160" s="1" t="s">
        <v>62</v>
      </c>
      <c r="E160" s="1" t="s">
        <v>17</v>
      </c>
      <c r="F160" s="1" t="s">
        <v>1240</v>
      </c>
      <c r="G160" s="1" t="s">
        <v>48</v>
      </c>
      <c r="H160" s="1">
        <v>2</v>
      </c>
      <c r="I160" s="1">
        <v>141.53</v>
      </c>
      <c r="J160" s="1">
        <v>0</v>
      </c>
      <c r="K160" s="1">
        <v>283.06</v>
      </c>
      <c r="L160" s="1">
        <v>79.69</v>
      </c>
      <c r="M160" s="1">
        <v>24</v>
      </c>
      <c r="N160" s="1" t="s">
        <v>26</v>
      </c>
      <c r="O160" s="1" t="s">
        <v>32</v>
      </c>
    </row>
    <row r="161" spans="1:15" x14ac:dyDescent="0.25">
      <c r="A161" s="1">
        <v>100306</v>
      </c>
      <c r="B161" s="2">
        <v>45487</v>
      </c>
      <c r="C161" s="1" t="s">
        <v>212</v>
      </c>
      <c r="D161" s="1" t="s">
        <v>77</v>
      </c>
      <c r="E161" s="1" t="s">
        <v>30</v>
      </c>
      <c r="F161" s="1" t="s">
        <v>1254</v>
      </c>
      <c r="G161" s="1" t="s">
        <v>31</v>
      </c>
      <c r="H161" s="1">
        <v>2</v>
      </c>
      <c r="I161" s="1">
        <v>41.02</v>
      </c>
      <c r="J161" s="1">
        <v>10</v>
      </c>
      <c r="K161" s="1">
        <v>73.84</v>
      </c>
      <c r="L161" s="1">
        <v>24.2</v>
      </c>
      <c r="M161" s="1">
        <v>29</v>
      </c>
      <c r="N161" s="1" t="s">
        <v>19</v>
      </c>
      <c r="O161" s="1" t="s">
        <v>81</v>
      </c>
    </row>
    <row r="162" spans="1:15" x14ac:dyDescent="0.2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x14ac:dyDescent="0.2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x14ac:dyDescent="0.25">
      <c r="A164" s="1">
        <v>101024</v>
      </c>
      <c r="B164" s="2">
        <v>45289</v>
      </c>
      <c r="C164" s="1" t="s">
        <v>215</v>
      </c>
      <c r="D164" s="1" t="s">
        <v>87</v>
      </c>
      <c r="E164" s="1" t="s">
        <v>25</v>
      </c>
      <c r="F164" s="1" t="s">
        <v>1254</v>
      </c>
      <c r="G164" s="1" t="s">
        <v>18</v>
      </c>
      <c r="H164" s="1">
        <v>2</v>
      </c>
      <c r="I164" s="1">
        <v>87</v>
      </c>
      <c r="J164" s="1">
        <v>10</v>
      </c>
      <c r="K164" s="1">
        <v>156.6</v>
      </c>
      <c r="L164" s="1">
        <v>48.93</v>
      </c>
      <c r="M164" s="1">
        <v>42</v>
      </c>
      <c r="N164" s="1" t="s">
        <v>26</v>
      </c>
      <c r="O164" s="1" t="s">
        <v>27</v>
      </c>
    </row>
    <row r="165" spans="1:15" x14ac:dyDescent="0.2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x14ac:dyDescent="0.2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x14ac:dyDescent="0.25">
      <c r="A167" s="1">
        <v>100812</v>
      </c>
      <c r="B167" s="2">
        <v>45634</v>
      </c>
      <c r="C167" s="1" t="s">
        <v>218</v>
      </c>
      <c r="D167" s="1" t="s">
        <v>62</v>
      </c>
      <c r="E167" s="1" t="s">
        <v>17</v>
      </c>
      <c r="F167" s="1" t="s">
        <v>1240</v>
      </c>
      <c r="G167" s="1" t="s">
        <v>18</v>
      </c>
      <c r="H167" s="1">
        <v>3</v>
      </c>
      <c r="I167" s="1">
        <v>145.30000000000001</v>
      </c>
      <c r="J167" s="1">
        <v>0</v>
      </c>
      <c r="K167" s="1">
        <v>435.9</v>
      </c>
      <c r="L167" s="1">
        <v>105.17</v>
      </c>
      <c r="M167" s="1">
        <v>36</v>
      </c>
      <c r="N167" s="1" t="s">
        <v>26</v>
      </c>
      <c r="O167" s="1" t="s">
        <v>81</v>
      </c>
    </row>
    <row r="168" spans="1:15" x14ac:dyDescent="0.2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x14ac:dyDescent="0.25">
      <c r="A169" s="1">
        <v>100887</v>
      </c>
      <c r="B169" s="2">
        <v>45528</v>
      </c>
      <c r="C169" s="1" t="s">
        <v>220</v>
      </c>
      <c r="D169" s="1" t="s">
        <v>73</v>
      </c>
      <c r="E169" s="1" t="s">
        <v>25</v>
      </c>
      <c r="F169" s="1" t="s">
        <v>1240</v>
      </c>
      <c r="G169" s="1" t="s">
        <v>31</v>
      </c>
      <c r="H169" s="1">
        <v>2</v>
      </c>
      <c r="I169" s="1">
        <v>31.96</v>
      </c>
      <c r="J169" s="1">
        <v>10</v>
      </c>
      <c r="K169" s="1">
        <v>57.53</v>
      </c>
      <c r="L169" s="1">
        <v>20.43</v>
      </c>
      <c r="M169" s="1">
        <v>27</v>
      </c>
      <c r="N169" s="1" t="s">
        <v>19</v>
      </c>
      <c r="O169" s="1" t="s">
        <v>51</v>
      </c>
    </row>
    <row r="170" spans="1:15" x14ac:dyDescent="0.2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x14ac:dyDescent="0.25">
      <c r="A171" s="1">
        <v>100031</v>
      </c>
      <c r="B171" s="2">
        <v>45563</v>
      </c>
      <c r="C171" s="1" t="s">
        <v>222</v>
      </c>
      <c r="D171" s="1" t="s">
        <v>77</v>
      </c>
      <c r="E171" s="1" t="s">
        <v>30</v>
      </c>
      <c r="F171" s="1" t="s">
        <v>1240</v>
      </c>
      <c r="G171" s="1" t="s">
        <v>18</v>
      </c>
      <c r="H171" s="1">
        <v>6</v>
      </c>
      <c r="I171" s="1">
        <v>36.380000000000003</v>
      </c>
      <c r="J171" s="1">
        <v>0</v>
      </c>
      <c r="K171" s="1">
        <v>218.28</v>
      </c>
      <c r="L171" s="1">
        <v>51.1</v>
      </c>
      <c r="M171" s="1">
        <v>23</v>
      </c>
      <c r="N171" s="1" t="s">
        <v>26</v>
      </c>
      <c r="O171" s="1" t="s">
        <v>43</v>
      </c>
    </row>
    <row r="172" spans="1:15" x14ac:dyDescent="0.25">
      <c r="A172" s="1">
        <v>100762</v>
      </c>
      <c r="B172" s="2">
        <v>45342</v>
      </c>
      <c r="C172" s="1" t="s">
        <v>223</v>
      </c>
      <c r="D172" s="1" t="s">
        <v>37</v>
      </c>
      <c r="E172" s="1" t="s">
        <v>17</v>
      </c>
      <c r="F172" s="1" t="s">
        <v>1240</v>
      </c>
      <c r="G172" s="1" t="s">
        <v>18</v>
      </c>
      <c r="H172" s="1">
        <v>3</v>
      </c>
      <c r="I172" s="1">
        <v>67.83</v>
      </c>
      <c r="J172" s="1">
        <v>10</v>
      </c>
      <c r="K172" s="1">
        <v>183.14</v>
      </c>
      <c r="L172" s="1">
        <v>47.92</v>
      </c>
      <c r="M172" s="1">
        <v>27</v>
      </c>
      <c r="N172" s="1" t="s">
        <v>19</v>
      </c>
      <c r="O172" s="1" t="s">
        <v>46</v>
      </c>
    </row>
    <row r="173" spans="1:15" x14ac:dyDescent="0.2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x14ac:dyDescent="0.25">
      <c r="A174" s="1">
        <v>100319</v>
      </c>
      <c r="B174" s="2">
        <v>44941</v>
      </c>
      <c r="C174" s="1" t="s">
        <v>225</v>
      </c>
      <c r="D174" s="1" t="s">
        <v>22</v>
      </c>
      <c r="E174" s="1" t="s">
        <v>17</v>
      </c>
      <c r="F174" s="1" t="s">
        <v>1254</v>
      </c>
      <c r="G174" s="1" t="s">
        <v>64</v>
      </c>
      <c r="H174" s="1">
        <v>3</v>
      </c>
      <c r="I174" s="1">
        <v>27.45</v>
      </c>
      <c r="J174" s="1">
        <v>20</v>
      </c>
      <c r="K174" s="1">
        <v>65.88</v>
      </c>
      <c r="L174" s="1">
        <v>13.79</v>
      </c>
      <c r="M174" s="1">
        <v>39</v>
      </c>
      <c r="N174" s="1" t="s">
        <v>26</v>
      </c>
      <c r="O174" s="1" t="s">
        <v>20</v>
      </c>
    </row>
    <row r="175" spans="1:15" x14ac:dyDescent="0.2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x14ac:dyDescent="0.2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x14ac:dyDescent="0.2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x14ac:dyDescent="0.25">
      <c r="A178" s="1">
        <v>100178</v>
      </c>
      <c r="B178" s="2">
        <v>45873</v>
      </c>
      <c r="C178" s="1" t="s">
        <v>229</v>
      </c>
      <c r="D178" s="1" t="s">
        <v>56</v>
      </c>
      <c r="E178" s="1" t="s">
        <v>30</v>
      </c>
      <c r="F178" s="1" t="s">
        <v>1240</v>
      </c>
      <c r="G178" s="1" t="s">
        <v>18</v>
      </c>
      <c r="H178" s="1">
        <v>3</v>
      </c>
      <c r="I178" s="1">
        <v>40.39</v>
      </c>
      <c r="J178" s="1">
        <v>40</v>
      </c>
      <c r="K178" s="1">
        <v>72.7</v>
      </c>
      <c r="L178" s="1">
        <v>28.43</v>
      </c>
      <c r="M178" s="1">
        <v>29</v>
      </c>
      <c r="N178" s="1" t="s">
        <v>26</v>
      </c>
      <c r="O178" s="1" t="s">
        <v>35</v>
      </c>
    </row>
    <row r="179" spans="1:15" x14ac:dyDescent="0.2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x14ac:dyDescent="0.2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x14ac:dyDescent="0.25">
      <c r="A181" s="1">
        <v>100787</v>
      </c>
      <c r="B181" s="2">
        <v>45857</v>
      </c>
      <c r="C181" s="1" t="s">
        <v>232</v>
      </c>
      <c r="D181" s="1" t="s">
        <v>59</v>
      </c>
      <c r="E181" s="1" t="s">
        <v>17</v>
      </c>
      <c r="F181" s="1" t="s">
        <v>1239</v>
      </c>
      <c r="G181" s="1" t="s">
        <v>64</v>
      </c>
      <c r="H181" s="1">
        <v>2</v>
      </c>
      <c r="I181" s="1">
        <v>30.36</v>
      </c>
      <c r="J181" s="1">
        <v>0</v>
      </c>
      <c r="K181" s="1">
        <v>60.72</v>
      </c>
      <c r="L181" s="1">
        <v>10.79</v>
      </c>
      <c r="M181" s="1">
        <v>30</v>
      </c>
      <c r="N181" s="1" t="s">
        <v>19</v>
      </c>
      <c r="O181" s="1" t="s">
        <v>81</v>
      </c>
    </row>
    <row r="182" spans="1:15" x14ac:dyDescent="0.25">
      <c r="A182" s="1">
        <v>100724</v>
      </c>
      <c r="B182" s="2">
        <v>45453</v>
      </c>
      <c r="C182" s="1" t="s">
        <v>233</v>
      </c>
      <c r="D182" s="1" t="s">
        <v>73</v>
      </c>
      <c r="E182" s="1" t="s">
        <v>25</v>
      </c>
      <c r="F182" s="1" t="s">
        <v>1240</v>
      </c>
      <c r="G182" s="1" t="s">
        <v>18</v>
      </c>
      <c r="H182" s="1">
        <v>2</v>
      </c>
      <c r="I182" s="1">
        <v>35.39</v>
      </c>
      <c r="J182" s="1">
        <v>0</v>
      </c>
      <c r="K182" s="1">
        <v>70.78</v>
      </c>
      <c r="L182" s="1">
        <v>24.76</v>
      </c>
      <c r="M182" s="1">
        <v>21</v>
      </c>
      <c r="N182" s="1" t="s">
        <v>19</v>
      </c>
      <c r="O182" s="1" t="s">
        <v>43</v>
      </c>
    </row>
    <row r="183" spans="1:15" x14ac:dyDescent="0.2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x14ac:dyDescent="0.2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x14ac:dyDescent="0.2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x14ac:dyDescent="0.2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x14ac:dyDescent="0.25">
      <c r="A187" s="1">
        <v>100997</v>
      </c>
      <c r="B187" s="2">
        <v>45207</v>
      </c>
      <c r="C187" s="1" t="s">
        <v>238</v>
      </c>
      <c r="D187" s="1" t="s">
        <v>87</v>
      </c>
      <c r="E187" s="1" t="s">
        <v>25</v>
      </c>
      <c r="F187" s="1" t="s">
        <v>1240</v>
      </c>
      <c r="G187" s="1" t="s">
        <v>31</v>
      </c>
      <c r="H187" s="1">
        <v>2</v>
      </c>
      <c r="I187" s="1">
        <v>73.12</v>
      </c>
      <c r="J187" s="1">
        <v>0</v>
      </c>
      <c r="K187" s="1">
        <v>146.24</v>
      </c>
      <c r="L187" s="1">
        <v>45.75</v>
      </c>
      <c r="M187" s="1">
        <v>39</v>
      </c>
      <c r="N187" s="1" t="s">
        <v>19</v>
      </c>
      <c r="O187" s="1" t="s">
        <v>32</v>
      </c>
    </row>
    <row r="188" spans="1:15" x14ac:dyDescent="0.2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x14ac:dyDescent="0.2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x14ac:dyDescent="0.25">
      <c r="A190" s="1">
        <v>100429</v>
      </c>
      <c r="B190" s="2">
        <v>45552</v>
      </c>
      <c r="C190" s="1" t="s">
        <v>241</v>
      </c>
      <c r="D190" s="1" t="s">
        <v>73</v>
      </c>
      <c r="E190" s="1" t="s">
        <v>25</v>
      </c>
      <c r="F190" s="1" t="s">
        <v>1239</v>
      </c>
      <c r="G190" s="1" t="s">
        <v>18</v>
      </c>
      <c r="H190" s="1">
        <v>1</v>
      </c>
      <c r="I190" s="1">
        <v>32.9</v>
      </c>
      <c r="J190" s="1">
        <v>20</v>
      </c>
      <c r="K190" s="1">
        <v>26.32</v>
      </c>
      <c r="L190" s="1">
        <v>8.7899999999999991</v>
      </c>
      <c r="M190" s="1">
        <v>20</v>
      </c>
      <c r="N190" s="1" t="s">
        <v>26</v>
      </c>
      <c r="O190" s="1" t="s">
        <v>51</v>
      </c>
    </row>
    <row r="191" spans="1:15" x14ac:dyDescent="0.25">
      <c r="A191" s="1">
        <v>100506</v>
      </c>
      <c r="B191" s="2">
        <v>44939</v>
      </c>
      <c r="C191" s="1" t="s">
        <v>242</v>
      </c>
      <c r="D191" s="1" t="s">
        <v>73</v>
      </c>
      <c r="E191" s="1" t="s">
        <v>25</v>
      </c>
      <c r="F191" s="1" t="s">
        <v>1240</v>
      </c>
      <c r="G191" s="1" t="s">
        <v>18</v>
      </c>
      <c r="H191" s="1">
        <v>6</v>
      </c>
      <c r="I191" s="1">
        <v>40.630000000000003</v>
      </c>
      <c r="J191" s="1">
        <v>5</v>
      </c>
      <c r="K191" s="1">
        <v>231.59</v>
      </c>
      <c r="L191" s="1">
        <v>81.33</v>
      </c>
      <c r="M191" s="1">
        <v>23</v>
      </c>
      <c r="N191" s="1" t="s">
        <v>19</v>
      </c>
      <c r="O191" s="1" t="s">
        <v>35</v>
      </c>
    </row>
    <row r="192" spans="1:15" x14ac:dyDescent="0.2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x14ac:dyDescent="0.2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x14ac:dyDescent="0.25">
      <c r="A194" s="1">
        <v>100010</v>
      </c>
      <c r="B194" s="2">
        <v>45151</v>
      </c>
      <c r="C194" s="1" t="s">
        <v>245</v>
      </c>
      <c r="D194" s="1" t="s">
        <v>68</v>
      </c>
      <c r="E194" s="1" t="s">
        <v>25</v>
      </c>
      <c r="F194" s="1" t="s">
        <v>1240</v>
      </c>
      <c r="G194" s="1" t="s">
        <v>18</v>
      </c>
      <c r="H194" s="1">
        <v>1</v>
      </c>
      <c r="I194" s="1">
        <v>225.7</v>
      </c>
      <c r="J194" s="1">
        <v>0</v>
      </c>
      <c r="K194" s="1">
        <v>225.7</v>
      </c>
      <c r="L194" s="1">
        <v>63.36</v>
      </c>
      <c r="M194" s="1">
        <v>34</v>
      </c>
      <c r="N194" s="1" t="s">
        <v>26</v>
      </c>
      <c r="O194" s="1" t="s">
        <v>35</v>
      </c>
    </row>
    <row r="195" spans="1:15" x14ac:dyDescent="0.25">
      <c r="A195" s="1">
        <v>100847</v>
      </c>
      <c r="B195" s="2">
        <v>45050</v>
      </c>
      <c r="C195" s="1" t="s">
        <v>246</v>
      </c>
      <c r="D195" s="1" t="s">
        <v>59</v>
      </c>
      <c r="E195" s="1" t="s">
        <v>17</v>
      </c>
      <c r="F195" s="1" t="s">
        <v>1240</v>
      </c>
      <c r="G195" s="1" t="s">
        <v>18</v>
      </c>
      <c r="H195" s="1">
        <v>2</v>
      </c>
      <c r="I195" s="1">
        <v>29.15</v>
      </c>
      <c r="J195" s="1">
        <v>0</v>
      </c>
      <c r="K195" s="1">
        <v>58.3</v>
      </c>
      <c r="L195" s="1">
        <v>12.32</v>
      </c>
      <c r="M195" s="1">
        <v>34</v>
      </c>
      <c r="N195" s="1" t="s">
        <v>26</v>
      </c>
      <c r="O195" s="1" t="s">
        <v>43</v>
      </c>
    </row>
    <row r="196" spans="1:15" x14ac:dyDescent="0.2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x14ac:dyDescent="0.25">
      <c r="A197" s="1">
        <v>100198</v>
      </c>
      <c r="B197" s="2">
        <v>45052</v>
      </c>
      <c r="C197" s="1" t="s">
        <v>248</v>
      </c>
      <c r="D197" s="1" t="s">
        <v>22</v>
      </c>
      <c r="E197" s="1" t="s">
        <v>17</v>
      </c>
      <c r="F197" s="1" t="s">
        <v>1240</v>
      </c>
      <c r="G197" s="1" t="s">
        <v>18</v>
      </c>
      <c r="H197" s="1">
        <v>3</v>
      </c>
      <c r="I197" s="1">
        <v>26.3</v>
      </c>
      <c r="J197" s="1">
        <v>5</v>
      </c>
      <c r="K197" s="1">
        <v>74.95</v>
      </c>
      <c r="L197" s="1">
        <v>13.9</v>
      </c>
      <c r="M197" s="1">
        <v>41</v>
      </c>
      <c r="N197" s="1" t="s">
        <v>19</v>
      </c>
      <c r="O197" s="1" t="s">
        <v>32</v>
      </c>
    </row>
    <row r="198" spans="1:15" x14ac:dyDescent="0.2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x14ac:dyDescent="0.2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x14ac:dyDescent="0.25">
      <c r="A200" s="1">
        <v>100996</v>
      </c>
      <c r="B200" s="2">
        <v>45208</v>
      </c>
      <c r="C200" s="1" t="s">
        <v>251</v>
      </c>
      <c r="D200" s="1" t="s">
        <v>29</v>
      </c>
      <c r="E200" s="1" t="s">
        <v>30</v>
      </c>
      <c r="F200" s="1" t="s">
        <v>1240</v>
      </c>
      <c r="G200" s="1" t="s">
        <v>18</v>
      </c>
      <c r="H200" s="1">
        <v>5</v>
      </c>
      <c r="I200" s="1">
        <v>18.25</v>
      </c>
      <c r="J200" s="1">
        <v>5</v>
      </c>
      <c r="K200" s="1">
        <v>86.69</v>
      </c>
      <c r="L200" s="1">
        <v>22.75</v>
      </c>
      <c r="M200" s="1">
        <v>33</v>
      </c>
      <c r="N200" s="1" t="s">
        <v>26</v>
      </c>
      <c r="O200" s="1" t="s">
        <v>51</v>
      </c>
    </row>
    <row r="201" spans="1:15" x14ac:dyDescent="0.2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x14ac:dyDescent="0.25">
      <c r="A202" s="1">
        <v>100808</v>
      </c>
      <c r="B202" s="2">
        <v>45043</v>
      </c>
      <c r="C202" s="1" t="s">
        <v>253</v>
      </c>
      <c r="D202" s="1" t="s">
        <v>29</v>
      </c>
      <c r="E202" s="1" t="s">
        <v>30</v>
      </c>
      <c r="F202" s="1" t="s">
        <v>1240</v>
      </c>
      <c r="G202" s="1" t="s">
        <v>18</v>
      </c>
      <c r="H202" s="1">
        <v>5</v>
      </c>
      <c r="I202" s="1">
        <v>20.21</v>
      </c>
      <c r="J202" s="1">
        <v>20</v>
      </c>
      <c r="K202" s="1">
        <v>80.84</v>
      </c>
      <c r="L202" s="1">
        <v>26.86</v>
      </c>
      <c r="M202" s="1">
        <v>31</v>
      </c>
      <c r="N202" s="1" t="s">
        <v>26</v>
      </c>
      <c r="O202" s="1" t="s">
        <v>20</v>
      </c>
    </row>
    <row r="203" spans="1:15" x14ac:dyDescent="0.2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x14ac:dyDescent="0.2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x14ac:dyDescent="0.2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x14ac:dyDescent="0.2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x14ac:dyDescent="0.25">
      <c r="A207" s="1">
        <v>100220</v>
      </c>
      <c r="B207" s="2">
        <v>45862</v>
      </c>
      <c r="C207" s="1" t="s">
        <v>258</v>
      </c>
      <c r="D207" s="1" t="s">
        <v>42</v>
      </c>
      <c r="E207" s="1" t="s">
        <v>25</v>
      </c>
      <c r="F207" s="1" t="s">
        <v>1254</v>
      </c>
      <c r="G207" s="1" t="s">
        <v>64</v>
      </c>
      <c r="H207" s="1">
        <v>2</v>
      </c>
      <c r="I207" s="1">
        <v>154.19</v>
      </c>
      <c r="J207" s="1">
        <v>5</v>
      </c>
      <c r="K207" s="1">
        <v>292.95999999999998</v>
      </c>
      <c r="L207" s="1">
        <v>87.6</v>
      </c>
      <c r="M207" s="1">
        <v>41</v>
      </c>
      <c r="N207" s="1" t="s">
        <v>26</v>
      </c>
      <c r="O207" s="1" t="s">
        <v>32</v>
      </c>
    </row>
    <row r="208" spans="1:15" x14ac:dyDescent="0.25">
      <c r="A208" s="1">
        <v>100788</v>
      </c>
      <c r="B208" s="2">
        <v>45443</v>
      </c>
      <c r="C208" s="1" t="s">
        <v>259</v>
      </c>
      <c r="D208" s="1" t="s">
        <v>100</v>
      </c>
      <c r="E208" s="1" t="s">
        <v>25</v>
      </c>
      <c r="F208" s="1" t="s">
        <v>1239</v>
      </c>
      <c r="G208" s="1" t="s">
        <v>31</v>
      </c>
      <c r="H208" s="1">
        <v>4</v>
      </c>
      <c r="I208" s="1">
        <v>123.96</v>
      </c>
      <c r="J208" s="1">
        <v>5</v>
      </c>
      <c r="K208" s="1">
        <v>471.05</v>
      </c>
      <c r="L208" s="1">
        <v>135.24</v>
      </c>
      <c r="M208" s="1">
        <v>36</v>
      </c>
      <c r="N208" s="1" t="s">
        <v>26</v>
      </c>
      <c r="O208" s="1" t="s">
        <v>81</v>
      </c>
    </row>
    <row r="209" spans="1:15" x14ac:dyDescent="0.25">
      <c r="A209" s="1">
        <v>100711</v>
      </c>
      <c r="B209" s="2">
        <v>45559</v>
      </c>
      <c r="C209" s="1" t="s">
        <v>260</v>
      </c>
      <c r="D209" s="1" t="s">
        <v>37</v>
      </c>
      <c r="E209" s="1" t="s">
        <v>17</v>
      </c>
      <c r="F209" s="1" t="s">
        <v>1240</v>
      </c>
      <c r="G209" s="1" t="s">
        <v>18</v>
      </c>
      <c r="H209" s="1">
        <v>3</v>
      </c>
      <c r="I209" s="1">
        <v>72.88</v>
      </c>
      <c r="J209" s="1">
        <v>5</v>
      </c>
      <c r="K209" s="1">
        <v>207.71</v>
      </c>
      <c r="L209" s="1">
        <v>68.010000000000005</v>
      </c>
      <c r="M209" s="1">
        <v>40</v>
      </c>
      <c r="N209" s="1" t="s">
        <v>19</v>
      </c>
      <c r="O209" s="1" t="s">
        <v>51</v>
      </c>
    </row>
    <row r="210" spans="1:15" x14ac:dyDescent="0.25">
      <c r="A210" s="1">
        <v>100713</v>
      </c>
      <c r="B210" s="2">
        <v>45252</v>
      </c>
      <c r="C210" s="1" t="s">
        <v>261</v>
      </c>
      <c r="D210" s="1" t="s">
        <v>100</v>
      </c>
      <c r="E210" s="1" t="s">
        <v>25</v>
      </c>
      <c r="F210" s="1" t="s">
        <v>1239</v>
      </c>
      <c r="G210" s="1" t="s">
        <v>48</v>
      </c>
      <c r="H210" s="1">
        <v>1</v>
      </c>
      <c r="I210" s="1">
        <v>111.35</v>
      </c>
      <c r="J210" s="1">
        <v>0</v>
      </c>
      <c r="K210" s="1">
        <v>111.35</v>
      </c>
      <c r="L210" s="1">
        <v>32.659999999999997</v>
      </c>
      <c r="M210" s="1">
        <v>33</v>
      </c>
      <c r="N210" s="1" t="s">
        <v>26</v>
      </c>
      <c r="O210" s="1" t="s">
        <v>35</v>
      </c>
    </row>
    <row r="211" spans="1:15" x14ac:dyDescent="0.2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x14ac:dyDescent="0.25">
      <c r="A212" s="1">
        <v>101190</v>
      </c>
      <c r="B212" s="2">
        <v>45284</v>
      </c>
      <c r="C212" s="1" t="s">
        <v>263</v>
      </c>
      <c r="D212" s="1" t="s">
        <v>56</v>
      </c>
      <c r="E212" s="1" t="s">
        <v>30</v>
      </c>
      <c r="F212" s="1" t="s">
        <v>1240</v>
      </c>
      <c r="G212" s="1" t="s">
        <v>31</v>
      </c>
      <c r="H212" s="1">
        <v>1</v>
      </c>
      <c r="I212" s="1">
        <v>46.08</v>
      </c>
      <c r="J212" s="1">
        <v>5</v>
      </c>
      <c r="K212" s="1">
        <v>43.78</v>
      </c>
      <c r="L212" s="1">
        <v>12.68</v>
      </c>
      <c r="M212" s="1">
        <v>28</v>
      </c>
      <c r="N212" s="1" t="s">
        <v>26</v>
      </c>
      <c r="O212" s="1" t="s">
        <v>43</v>
      </c>
    </row>
    <row r="213" spans="1:15" x14ac:dyDescent="0.2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x14ac:dyDescent="0.25">
      <c r="A214" s="1">
        <v>100415</v>
      </c>
      <c r="B214" s="2">
        <v>45798</v>
      </c>
      <c r="C214" s="1" t="s">
        <v>265</v>
      </c>
      <c r="D214" s="1" t="s">
        <v>70</v>
      </c>
      <c r="E214" s="1" t="s">
        <v>25</v>
      </c>
      <c r="F214" s="1" t="s">
        <v>1240</v>
      </c>
      <c r="G214" s="1" t="s">
        <v>31</v>
      </c>
      <c r="H214" s="1">
        <v>3</v>
      </c>
      <c r="I214" s="1">
        <v>156.87</v>
      </c>
      <c r="J214" s="1">
        <v>10</v>
      </c>
      <c r="K214" s="1">
        <v>423.55</v>
      </c>
      <c r="L214" s="1">
        <v>165.28</v>
      </c>
      <c r="M214" s="1">
        <v>28</v>
      </c>
      <c r="N214" s="1" t="s">
        <v>26</v>
      </c>
      <c r="O214" s="1" t="s">
        <v>46</v>
      </c>
    </row>
    <row r="215" spans="1:15" x14ac:dyDescent="0.2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x14ac:dyDescent="0.25">
      <c r="A216" s="1">
        <v>100934</v>
      </c>
      <c r="B216" s="2">
        <v>45381</v>
      </c>
      <c r="C216" s="1" t="s">
        <v>267</v>
      </c>
      <c r="D216" s="1" t="s">
        <v>70</v>
      </c>
      <c r="E216" s="1" t="s">
        <v>25</v>
      </c>
      <c r="F216" s="1" t="s">
        <v>1240</v>
      </c>
      <c r="G216" s="1" t="s">
        <v>18</v>
      </c>
      <c r="H216" s="1">
        <v>3</v>
      </c>
      <c r="I216" s="1">
        <v>152.31</v>
      </c>
      <c r="J216" s="1">
        <v>0</v>
      </c>
      <c r="K216" s="1">
        <v>456.93</v>
      </c>
      <c r="L216" s="1">
        <v>191.73</v>
      </c>
      <c r="M216" s="1">
        <v>22</v>
      </c>
      <c r="N216" s="1" t="s">
        <v>26</v>
      </c>
      <c r="O216" s="1" t="s">
        <v>51</v>
      </c>
    </row>
    <row r="217" spans="1:15" x14ac:dyDescent="0.2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x14ac:dyDescent="0.2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x14ac:dyDescent="0.2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x14ac:dyDescent="0.2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x14ac:dyDescent="0.2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x14ac:dyDescent="0.2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x14ac:dyDescent="0.25">
      <c r="A223" s="1">
        <v>100967</v>
      </c>
      <c r="B223" s="2">
        <v>45423</v>
      </c>
      <c r="C223" s="1" t="s">
        <v>274</v>
      </c>
      <c r="D223" s="1" t="s">
        <v>87</v>
      </c>
      <c r="E223" s="1" t="s">
        <v>25</v>
      </c>
      <c r="F223" s="1" t="s">
        <v>1240</v>
      </c>
      <c r="G223" s="1" t="s">
        <v>64</v>
      </c>
      <c r="H223" s="1">
        <v>3</v>
      </c>
      <c r="I223" s="1">
        <v>80.41</v>
      </c>
      <c r="J223" s="1">
        <v>10</v>
      </c>
      <c r="K223" s="1">
        <v>217.11</v>
      </c>
      <c r="L223" s="1">
        <v>73.760000000000005</v>
      </c>
      <c r="M223" s="1">
        <v>37</v>
      </c>
      <c r="N223" s="1" t="s">
        <v>19</v>
      </c>
      <c r="O223" s="1" t="s">
        <v>81</v>
      </c>
    </row>
    <row r="224" spans="1:15" x14ac:dyDescent="0.25">
      <c r="A224" s="1">
        <v>101004</v>
      </c>
      <c r="B224" s="2">
        <v>45631</v>
      </c>
      <c r="C224" s="1" t="s">
        <v>275</v>
      </c>
      <c r="D224" s="1" t="s">
        <v>87</v>
      </c>
      <c r="E224" s="1" t="s">
        <v>25</v>
      </c>
      <c r="F224" s="1" t="s">
        <v>1240</v>
      </c>
      <c r="G224" s="1" t="s">
        <v>18</v>
      </c>
      <c r="H224" s="1">
        <v>4</v>
      </c>
      <c r="I224" s="1">
        <v>83.71</v>
      </c>
      <c r="J224" s="1">
        <v>0</v>
      </c>
      <c r="K224" s="1">
        <v>334.84</v>
      </c>
      <c r="L224" s="1">
        <v>75.38</v>
      </c>
      <c r="M224" s="1">
        <v>20</v>
      </c>
      <c r="N224" s="1" t="s">
        <v>26</v>
      </c>
      <c r="O224" s="1" t="s">
        <v>51</v>
      </c>
    </row>
    <row r="225" spans="1:15" x14ac:dyDescent="0.2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x14ac:dyDescent="0.2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x14ac:dyDescent="0.25">
      <c r="A227" s="1">
        <v>100519</v>
      </c>
      <c r="B227" s="2">
        <v>45886</v>
      </c>
      <c r="C227" s="1" t="s">
        <v>278</v>
      </c>
      <c r="D227" s="1" t="s">
        <v>53</v>
      </c>
      <c r="E227" s="1" t="s">
        <v>30</v>
      </c>
      <c r="F227" s="1" t="s">
        <v>1240</v>
      </c>
      <c r="G227" s="1" t="s">
        <v>18</v>
      </c>
      <c r="H227" s="1">
        <v>2</v>
      </c>
      <c r="I227" s="1">
        <v>20.76</v>
      </c>
      <c r="J227" s="1">
        <v>0</v>
      </c>
      <c r="K227" s="1">
        <v>41.52</v>
      </c>
      <c r="L227" s="1">
        <v>8.75</v>
      </c>
      <c r="M227" s="1">
        <v>26</v>
      </c>
      <c r="N227" s="1" t="s">
        <v>19</v>
      </c>
      <c r="O227" s="1" t="s">
        <v>27</v>
      </c>
    </row>
    <row r="228" spans="1:15" x14ac:dyDescent="0.25">
      <c r="A228" s="1">
        <v>100770</v>
      </c>
      <c r="B228" s="2">
        <v>45659</v>
      </c>
      <c r="C228" s="1" t="s">
        <v>279</v>
      </c>
      <c r="D228" s="1" t="s">
        <v>59</v>
      </c>
      <c r="E228" s="1" t="s">
        <v>17</v>
      </c>
      <c r="F228" s="1" t="s">
        <v>1240</v>
      </c>
      <c r="G228" s="1" t="s">
        <v>64</v>
      </c>
      <c r="H228" s="1">
        <v>2</v>
      </c>
      <c r="I228" s="1">
        <v>29.65</v>
      </c>
      <c r="J228" s="1">
        <v>0</v>
      </c>
      <c r="K228" s="1">
        <v>59.3</v>
      </c>
      <c r="L228" s="1">
        <v>15.46</v>
      </c>
      <c r="M228" s="1">
        <v>20</v>
      </c>
      <c r="N228" s="1" t="s">
        <v>19</v>
      </c>
      <c r="O228" s="1" t="s">
        <v>81</v>
      </c>
    </row>
    <row r="229" spans="1:15" x14ac:dyDescent="0.2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x14ac:dyDescent="0.2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x14ac:dyDescent="0.25">
      <c r="A231" s="1">
        <v>100620</v>
      </c>
      <c r="B231" s="2">
        <v>44956</v>
      </c>
      <c r="C231" s="1" t="s">
        <v>282</v>
      </c>
      <c r="D231" s="1" t="s">
        <v>53</v>
      </c>
      <c r="E231" s="1" t="s">
        <v>30</v>
      </c>
      <c r="F231" s="1" t="s">
        <v>1240</v>
      </c>
      <c r="G231" s="1" t="s">
        <v>18</v>
      </c>
      <c r="H231" s="1">
        <v>1</v>
      </c>
      <c r="I231" s="1">
        <v>23.97</v>
      </c>
      <c r="J231" s="1">
        <v>0</v>
      </c>
      <c r="K231" s="1">
        <v>23.97</v>
      </c>
      <c r="L231" s="1">
        <v>11.8</v>
      </c>
      <c r="M231" s="1">
        <v>39</v>
      </c>
      <c r="N231" s="1" t="s">
        <v>26</v>
      </c>
      <c r="O231" s="1" t="s">
        <v>32</v>
      </c>
    </row>
    <row r="232" spans="1:15" x14ac:dyDescent="0.2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x14ac:dyDescent="0.2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x14ac:dyDescent="0.2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x14ac:dyDescent="0.2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x14ac:dyDescent="0.2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x14ac:dyDescent="0.25">
      <c r="A237" s="1">
        <v>100382</v>
      </c>
      <c r="B237" s="2">
        <v>45767</v>
      </c>
      <c r="C237" s="1" t="s">
        <v>288</v>
      </c>
      <c r="D237" s="1" t="s">
        <v>70</v>
      </c>
      <c r="E237" s="1" t="s">
        <v>25</v>
      </c>
      <c r="F237" s="1" t="s">
        <v>1240</v>
      </c>
      <c r="G237" s="1" t="s">
        <v>18</v>
      </c>
      <c r="H237" s="1">
        <v>4</v>
      </c>
      <c r="I237" s="1">
        <v>160.12</v>
      </c>
      <c r="J237" s="1">
        <v>0</v>
      </c>
      <c r="K237" s="1">
        <v>640.48</v>
      </c>
      <c r="L237" s="1">
        <v>210.06</v>
      </c>
      <c r="M237" s="1">
        <v>24</v>
      </c>
      <c r="N237" s="1" t="s">
        <v>26</v>
      </c>
      <c r="O237" s="1" t="s">
        <v>35</v>
      </c>
    </row>
    <row r="238" spans="1:15" x14ac:dyDescent="0.2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x14ac:dyDescent="0.2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x14ac:dyDescent="0.2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x14ac:dyDescent="0.25">
      <c r="A241" s="1">
        <v>100874</v>
      </c>
      <c r="B241" s="2">
        <v>45431</v>
      </c>
      <c r="C241" s="1" t="s">
        <v>292</v>
      </c>
      <c r="D241" s="1" t="s">
        <v>100</v>
      </c>
      <c r="E241" s="1" t="s">
        <v>25</v>
      </c>
      <c r="F241" s="1" t="s">
        <v>1240</v>
      </c>
      <c r="G241" s="1" t="s">
        <v>48</v>
      </c>
      <c r="H241" s="1">
        <v>4</v>
      </c>
      <c r="I241" s="1">
        <v>134.99</v>
      </c>
      <c r="J241" s="1">
        <v>20</v>
      </c>
      <c r="K241" s="1">
        <v>431.97</v>
      </c>
      <c r="L241" s="1">
        <v>106.8</v>
      </c>
      <c r="M241" s="1">
        <v>36</v>
      </c>
      <c r="N241" s="1" t="s">
        <v>26</v>
      </c>
      <c r="O241" s="1" t="s">
        <v>20</v>
      </c>
    </row>
    <row r="242" spans="1:15" x14ac:dyDescent="0.25">
      <c r="A242" s="1">
        <v>100331</v>
      </c>
      <c r="B242" s="2">
        <v>45304</v>
      </c>
      <c r="C242" s="1" t="s">
        <v>293</v>
      </c>
      <c r="D242" s="1" t="s">
        <v>77</v>
      </c>
      <c r="E242" s="1" t="s">
        <v>30</v>
      </c>
      <c r="F242" s="1" t="s">
        <v>1239</v>
      </c>
      <c r="G242" s="1" t="s">
        <v>31</v>
      </c>
      <c r="H242" s="1">
        <v>1</v>
      </c>
      <c r="I242" s="1">
        <v>43.72</v>
      </c>
      <c r="J242" s="1">
        <v>0</v>
      </c>
      <c r="K242" s="1">
        <v>43.72</v>
      </c>
      <c r="L242" s="1">
        <v>17.41</v>
      </c>
      <c r="M242" s="1">
        <v>34</v>
      </c>
      <c r="N242" s="1" t="s">
        <v>19</v>
      </c>
      <c r="O242" s="1" t="s">
        <v>51</v>
      </c>
    </row>
    <row r="243" spans="1:15" x14ac:dyDescent="0.25">
      <c r="A243" s="1">
        <v>100409</v>
      </c>
      <c r="B243" s="2">
        <v>45604</v>
      </c>
      <c r="C243" s="1" t="s">
        <v>294</v>
      </c>
      <c r="D243" s="1" t="s">
        <v>87</v>
      </c>
      <c r="E243" s="1" t="s">
        <v>25</v>
      </c>
      <c r="F243" s="1" t="s">
        <v>1240</v>
      </c>
      <c r="G243" s="1" t="s">
        <v>31</v>
      </c>
      <c r="H243" s="1">
        <v>4</v>
      </c>
      <c r="I243" s="1">
        <v>88.17</v>
      </c>
      <c r="J243" s="1">
        <v>0</v>
      </c>
      <c r="K243" s="1">
        <v>352.68</v>
      </c>
      <c r="L243" s="1">
        <v>91.08</v>
      </c>
      <c r="M243" s="1">
        <v>46</v>
      </c>
      <c r="N243" s="1" t="s">
        <v>26</v>
      </c>
      <c r="O243" s="1" t="s">
        <v>27</v>
      </c>
    </row>
    <row r="244" spans="1:15" x14ac:dyDescent="0.2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x14ac:dyDescent="0.2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x14ac:dyDescent="0.2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x14ac:dyDescent="0.25">
      <c r="A247" s="1">
        <v>100543</v>
      </c>
      <c r="B247" s="2">
        <v>45561</v>
      </c>
      <c r="C247" s="1" t="s">
        <v>298</v>
      </c>
      <c r="D247" s="1" t="s">
        <v>59</v>
      </c>
      <c r="E247" s="1" t="s">
        <v>17</v>
      </c>
      <c r="F247" s="1" t="s">
        <v>1240</v>
      </c>
      <c r="G247" s="1" t="s">
        <v>31</v>
      </c>
      <c r="H247" s="1">
        <v>3</v>
      </c>
      <c r="I247" s="1">
        <v>28.83</v>
      </c>
      <c r="J247" s="1">
        <v>0</v>
      </c>
      <c r="K247" s="1">
        <v>86.49</v>
      </c>
      <c r="L247" s="1">
        <v>20.420000000000002</v>
      </c>
      <c r="M247" s="1">
        <v>36</v>
      </c>
      <c r="N247" s="1" t="s">
        <v>19</v>
      </c>
      <c r="O247" s="1" t="s">
        <v>32</v>
      </c>
    </row>
    <row r="248" spans="1:15" x14ac:dyDescent="0.2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x14ac:dyDescent="0.2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x14ac:dyDescent="0.25">
      <c r="A250" s="1">
        <v>100063</v>
      </c>
      <c r="B250" s="2">
        <v>45504</v>
      </c>
      <c r="C250" s="1" t="s">
        <v>301</v>
      </c>
      <c r="D250" s="1" t="s">
        <v>73</v>
      </c>
      <c r="E250" s="1" t="s">
        <v>25</v>
      </c>
      <c r="F250" s="1" t="s">
        <v>1240</v>
      </c>
      <c r="G250" s="1" t="s">
        <v>18</v>
      </c>
      <c r="H250" s="1">
        <v>2</v>
      </c>
      <c r="I250" s="1">
        <v>33.42</v>
      </c>
      <c r="J250" s="1">
        <v>5</v>
      </c>
      <c r="K250" s="1">
        <v>63.5</v>
      </c>
      <c r="L250" s="1">
        <v>19.829999999999998</v>
      </c>
      <c r="M250" s="1">
        <v>25</v>
      </c>
      <c r="N250" s="1" t="s">
        <v>19</v>
      </c>
      <c r="O250" s="1" t="s">
        <v>27</v>
      </c>
    </row>
    <row r="251" spans="1:15" x14ac:dyDescent="0.2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x14ac:dyDescent="0.25">
      <c r="A252" s="1">
        <v>100716</v>
      </c>
      <c r="B252" s="2">
        <v>45782</v>
      </c>
      <c r="C252" s="1" t="s">
        <v>303</v>
      </c>
      <c r="D252" s="1" t="s">
        <v>77</v>
      </c>
      <c r="E252" s="1" t="s">
        <v>30</v>
      </c>
      <c r="F252" s="1" t="s">
        <v>1240</v>
      </c>
      <c r="G252" s="1" t="s">
        <v>18</v>
      </c>
      <c r="H252" s="1">
        <v>3</v>
      </c>
      <c r="I252" s="1">
        <v>39.35</v>
      </c>
      <c r="J252" s="1">
        <v>0</v>
      </c>
      <c r="K252" s="1">
        <v>118.05</v>
      </c>
      <c r="L252" s="1">
        <v>34.590000000000003</v>
      </c>
      <c r="M252" s="1">
        <v>32</v>
      </c>
      <c r="N252" s="1" t="s">
        <v>122</v>
      </c>
      <c r="O252" s="1" t="s">
        <v>43</v>
      </c>
    </row>
    <row r="253" spans="1:15" x14ac:dyDescent="0.2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x14ac:dyDescent="0.25">
      <c r="A254" s="1">
        <v>100363</v>
      </c>
      <c r="B254" s="2">
        <v>45253</v>
      </c>
      <c r="C254" s="1" t="s">
        <v>305</v>
      </c>
      <c r="D254" s="1" t="s">
        <v>22</v>
      </c>
      <c r="E254" s="1" t="s">
        <v>17</v>
      </c>
      <c r="F254" s="1" t="s">
        <v>1240</v>
      </c>
      <c r="G254" s="1" t="s">
        <v>18</v>
      </c>
      <c r="H254" s="1">
        <v>4</v>
      </c>
      <c r="I254" s="1">
        <v>25.48</v>
      </c>
      <c r="J254" s="1">
        <v>0</v>
      </c>
      <c r="K254" s="1">
        <v>101.92</v>
      </c>
      <c r="L254" s="1">
        <v>35.270000000000003</v>
      </c>
      <c r="M254" s="1">
        <v>45</v>
      </c>
      <c r="N254" s="1" t="s">
        <v>26</v>
      </c>
      <c r="O254" s="1" t="s">
        <v>27</v>
      </c>
    </row>
    <row r="255" spans="1:15" x14ac:dyDescent="0.2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x14ac:dyDescent="0.2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x14ac:dyDescent="0.25">
      <c r="A257" s="1">
        <v>101041</v>
      </c>
      <c r="B257" s="2">
        <v>45124</v>
      </c>
      <c r="C257" s="1" t="s">
        <v>308</v>
      </c>
      <c r="D257" s="1" t="s">
        <v>29</v>
      </c>
      <c r="E257" s="1" t="s">
        <v>30</v>
      </c>
      <c r="F257" s="1" t="s">
        <v>1240</v>
      </c>
      <c r="G257" s="1" t="s">
        <v>31</v>
      </c>
      <c r="H257" s="1">
        <v>5</v>
      </c>
      <c r="I257" s="1">
        <v>17.62</v>
      </c>
      <c r="J257" s="1">
        <v>0</v>
      </c>
      <c r="K257" s="1">
        <v>88.1</v>
      </c>
      <c r="L257" s="1">
        <v>35.78</v>
      </c>
      <c r="M257" s="1">
        <v>35</v>
      </c>
      <c r="N257" s="1" t="s">
        <v>26</v>
      </c>
      <c r="O257" s="1" t="s">
        <v>46</v>
      </c>
    </row>
    <row r="258" spans="1:15" x14ac:dyDescent="0.25">
      <c r="A258" s="1">
        <v>100224</v>
      </c>
      <c r="B258" s="2">
        <v>45106</v>
      </c>
      <c r="C258" s="1" t="s">
        <v>309</v>
      </c>
      <c r="D258" s="1" t="s">
        <v>100</v>
      </c>
      <c r="E258" s="1" t="s">
        <v>25</v>
      </c>
      <c r="F258" s="1" t="s">
        <v>1254</v>
      </c>
      <c r="G258" s="1" t="s">
        <v>48</v>
      </c>
      <c r="H258" s="1">
        <v>3</v>
      </c>
      <c r="I258" s="1">
        <v>119.72</v>
      </c>
      <c r="J258" s="1">
        <v>0</v>
      </c>
      <c r="K258" s="1">
        <v>359.16</v>
      </c>
      <c r="L258" s="1">
        <v>87.93</v>
      </c>
      <c r="M258" s="1">
        <v>42</v>
      </c>
      <c r="N258" s="1" t="s">
        <v>26</v>
      </c>
      <c r="O258" s="1" t="s">
        <v>27</v>
      </c>
    </row>
    <row r="259" spans="1:15" x14ac:dyDescent="0.2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x14ac:dyDescent="0.25">
      <c r="A260" s="1">
        <v>100266</v>
      </c>
      <c r="B260" s="2">
        <v>45623</v>
      </c>
      <c r="C260" s="1" t="s">
        <v>311</v>
      </c>
      <c r="D260" s="1" t="s">
        <v>77</v>
      </c>
      <c r="E260" s="1" t="s">
        <v>30</v>
      </c>
      <c r="F260" s="1" t="s">
        <v>1240</v>
      </c>
      <c r="G260" s="1" t="s">
        <v>31</v>
      </c>
      <c r="H260" s="1">
        <v>1</v>
      </c>
      <c r="I260" s="1">
        <v>37.5</v>
      </c>
      <c r="J260" s="1">
        <v>0</v>
      </c>
      <c r="K260" s="1">
        <v>37.5</v>
      </c>
      <c r="L260" s="1">
        <v>14.68</v>
      </c>
      <c r="M260" s="1">
        <v>37</v>
      </c>
      <c r="N260" s="1" t="s">
        <v>19</v>
      </c>
      <c r="O260" s="1" t="s">
        <v>27</v>
      </c>
    </row>
    <row r="261" spans="1:15" x14ac:dyDescent="0.2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x14ac:dyDescent="0.2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x14ac:dyDescent="0.2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x14ac:dyDescent="0.2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x14ac:dyDescent="0.2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x14ac:dyDescent="0.2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x14ac:dyDescent="0.25">
      <c r="A267" s="1">
        <v>100774</v>
      </c>
      <c r="B267" s="2">
        <v>45207</v>
      </c>
      <c r="C267" s="1" t="s">
        <v>318</v>
      </c>
      <c r="D267" s="1" t="s">
        <v>24</v>
      </c>
      <c r="E267" s="1" t="s">
        <v>25</v>
      </c>
      <c r="F267" s="1" t="s">
        <v>1239</v>
      </c>
      <c r="G267" s="1" t="s">
        <v>31</v>
      </c>
      <c r="H267" s="1">
        <v>6</v>
      </c>
      <c r="I267" s="1">
        <v>95.51</v>
      </c>
      <c r="J267" s="1">
        <v>0</v>
      </c>
      <c r="K267" s="1">
        <v>573.05999999999995</v>
      </c>
      <c r="L267" s="1">
        <v>94.18</v>
      </c>
      <c r="M267" s="1">
        <v>16</v>
      </c>
      <c r="N267" s="1" t="s">
        <v>26</v>
      </c>
      <c r="O267" s="1" t="s">
        <v>43</v>
      </c>
    </row>
    <row r="268" spans="1:15" x14ac:dyDescent="0.25">
      <c r="A268" s="1">
        <v>100553</v>
      </c>
      <c r="B268" s="2">
        <v>45311</v>
      </c>
      <c r="C268" s="1" t="s">
        <v>319</v>
      </c>
      <c r="D268" s="1" t="s">
        <v>45</v>
      </c>
      <c r="E268" s="1" t="s">
        <v>30</v>
      </c>
      <c r="F268" s="1" t="s">
        <v>1240</v>
      </c>
      <c r="G268" s="1" t="s">
        <v>64</v>
      </c>
      <c r="H268" s="1">
        <v>3</v>
      </c>
      <c r="I268" s="1">
        <v>14.41</v>
      </c>
      <c r="J268" s="1">
        <v>0</v>
      </c>
      <c r="K268" s="1">
        <v>43.23</v>
      </c>
      <c r="L268" s="1">
        <v>15.33</v>
      </c>
      <c r="M268" s="1">
        <v>25</v>
      </c>
      <c r="N268" s="1" t="s">
        <v>26</v>
      </c>
      <c r="O268" s="1" t="s">
        <v>32</v>
      </c>
    </row>
    <row r="269" spans="1:15" x14ac:dyDescent="0.2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x14ac:dyDescent="0.25">
      <c r="A270" s="1">
        <v>100914</v>
      </c>
      <c r="B270" s="2">
        <v>45800</v>
      </c>
      <c r="C270" s="1" t="s">
        <v>321</v>
      </c>
      <c r="D270" s="1" t="s">
        <v>45</v>
      </c>
      <c r="E270" s="1" t="s">
        <v>30</v>
      </c>
      <c r="F270" s="1" t="s">
        <v>1240</v>
      </c>
      <c r="G270" s="1" t="s">
        <v>48</v>
      </c>
      <c r="H270" s="1">
        <v>3</v>
      </c>
      <c r="I270" s="1">
        <v>16.45</v>
      </c>
      <c r="J270" s="1">
        <v>10</v>
      </c>
      <c r="K270" s="1">
        <v>44.41</v>
      </c>
      <c r="L270" s="1">
        <v>16.55</v>
      </c>
      <c r="M270" s="1">
        <v>35</v>
      </c>
      <c r="N270" s="1" t="s">
        <v>26</v>
      </c>
      <c r="O270" s="1" t="s">
        <v>81</v>
      </c>
    </row>
    <row r="271" spans="1:15" x14ac:dyDescent="0.2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x14ac:dyDescent="0.25">
      <c r="A272" s="1">
        <v>100590</v>
      </c>
      <c r="B272" s="2">
        <v>45391</v>
      </c>
      <c r="C272" s="1" t="s">
        <v>323</v>
      </c>
      <c r="D272" s="1" t="s">
        <v>77</v>
      </c>
      <c r="E272" s="1" t="s">
        <v>30</v>
      </c>
      <c r="F272" s="1" t="s">
        <v>1254</v>
      </c>
      <c r="G272" s="1" t="s">
        <v>48</v>
      </c>
      <c r="H272" s="1">
        <v>3</v>
      </c>
      <c r="I272" s="1">
        <v>39.96</v>
      </c>
      <c r="J272" s="1">
        <v>0</v>
      </c>
      <c r="K272" s="1">
        <v>119.88</v>
      </c>
      <c r="L272" s="1">
        <v>34.04</v>
      </c>
      <c r="M272" s="1">
        <v>20</v>
      </c>
      <c r="N272" s="1" t="s">
        <v>26</v>
      </c>
      <c r="O272" s="1" t="s">
        <v>43</v>
      </c>
    </row>
    <row r="273" spans="1:15" x14ac:dyDescent="0.25">
      <c r="A273" s="1">
        <v>100764</v>
      </c>
      <c r="B273" s="2">
        <v>45913</v>
      </c>
      <c r="C273" s="1" t="s">
        <v>324</v>
      </c>
      <c r="D273" s="1" t="s">
        <v>53</v>
      </c>
      <c r="E273" s="1" t="s">
        <v>30</v>
      </c>
      <c r="F273" s="1" t="s">
        <v>1240</v>
      </c>
      <c r="G273" s="1" t="s">
        <v>48</v>
      </c>
      <c r="H273" s="1">
        <v>3</v>
      </c>
      <c r="I273" s="1">
        <v>23.51</v>
      </c>
      <c r="J273" s="1">
        <v>0</v>
      </c>
      <c r="K273" s="1">
        <v>70.53</v>
      </c>
      <c r="L273" s="1">
        <v>23.67</v>
      </c>
      <c r="M273" s="1">
        <v>31</v>
      </c>
      <c r="N273" s="1" t="s">
        <v>26</v>
      </c>
      <c r="O273" s="1" t="s">
        <v>20</v>
      </c>
    </row>
    <row r="274" spans="1:15" x14ac:dyDescent="0.2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x14ac:dyDescent="0.2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x14ac:dyDescent="0.2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x14ac:dyDescent="0.25">
      <c r="A277" s="1">
        <v>100039</v>
      </c>
      <c r="B277" s="2">
        <v>45200</v>
      </c>
      <c r="C277" s="1" t="s">
        <v>328</v>
      </c>
      <c r="D277" s="1" t="s">
        <v>42</v>
      </c>
      <c r="E277" s="1" t="s">
        <v>25</v>
      </c>
      <c r="F277" s="1" t="s">
        <v>1240</v>
      </c>
      <c r="G277" s="1" t="s">
        <v>48</v>
      </c>
      <c r="H277" s="1">
        <v>3</v>
      </c>
      <c r="I277" s="1">
        <v>168.34</v>
      </c>
      <c r="J277" s="1">
        <v>0</v>
      </c>
      <c r="K277" s="1">
        <v>505.02</v>
      </c>
      <c r="L277" s="1">
        <v>155.66999999999999</v>
      </c>
      <c r="M277" s="1">
        <v>23</v>
      </c>
      <c r="N277" s="1" t="s">
        <v>19</v>
      </c>
      <c r="O277" s="1" t="s">
        <v>51</v>
      </c>
    </row>
    <row r="278" spans="1:15" x14ac:dyDescent="0.25">
      <c r="A278" s="1">
        <v>100030</v>
      </c>
      <c r="B278" s="2">
        <v>45332</v>
      </c>
      <c r="C278" s="1" t="s">
        <v>329</v>
      </c>
      <c r="D278" s="1" t="s">
        <v>68</v>
      </c>
      <c r="E278" s="1" t="s">
        <v>25</v>
      </c>
      <c r="F278" s="1" t="s">
        <v>1240</v>
      </c>
      <c r="G278" s="1" t="s">
        <v>18</v>
      </c>
      <c r="H278" s="1">
        <v>3</v>
      </c>
      <c r="I278" s="1">
        <v>252.84</v>
      </c>
      <c r="J278" s="1">
        <v>0</v>
      </c>
      <c r="K278" s="1">
        <v>758.52</v>
      </c>
      <c r="L278" s="1">
        <v>245.53</v>
      </c>
      <c r="M278" s="1">
        <v>23</v>
      </c>
      <c r="N278" s="1" t="s">
        <v>19</v>
      </c>
      <c r="O278" s="1" t="s">
        <v>27</v>
      </c>
    </row>
    <row r="279" spans="1:15" x14ac:dyDescent="0.2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x14ac:dyDescent="0.25">
      <c r="A280" s="1">
        <v>100428</v>
      </c>
      <c r="B280" s="2">
        <v>45645</v>
      </c>
      <c r="C280" s="1" t="s">
        <v>331</v>
      </c>
      <c r="D280" s="1" t="s">
        <v>87</v>
      </c>
      <c r="E280" s="1" t="s">
        <v>25</v>
      </c>
      <c r="F280" s="1" t="s">
        <v>1240</v>
      </c>
      <c r="G280" s="1" t="s">
        <v>18</v>
      </c>
      <c r="H280" s="1">
        <v>3</v>
      </c>
      <c r="I280" s="1">
        <v>80.41</v>
      </c>
      <c r="J280" s="1">
        <v>10</v>
      </c>
      <c r="K280" s="1">
        <v>217.11</v>
      </c>
      <c r="L280" s="1">
        <v>65.5</v>
      </c>
      <c r="M280" s="1">
        <v>21</v>
      </c>
      <c r="N280" s="1" t="s">
        <v>19</v>
      </c>
      <c r="O280" s="1" t="s">
        <v>32</v>
      </c>
    </row>
    <row r="281" spans="1:15" x14ac:dyDescent="0.2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x14ac:dyDescent="0.25">
      <c r="A282" s="1">
        <v>101100</v>
      </c>
      <c r="B282" s="2">
        <v>45185</v>
      </c>
      <c r="C282" s="1" t="s">
        <v>147</v>
      </c>
      <c r="D282" s="1" t="s">
        <v>42</v>
      </c>
      <c r="E282" s="1" t="s">
        <v>25</v>
      </c>
      <c r="F282" s="1" t="s">
        <v>1240</v>
      </c>
      <c r="G282" s="1" t="s">
        <v>18</v>
      </c>
      <c r="H282" s="1">
        <v>1</v>
      </c>
      <c r="I282" s="1">
        <v>150.4</v>
      </c>
      <c r="J282" s="1">
        <v>10</v>
      </c>
      <c r="K282" s="1">
        <v>135.36000000000001</v>
      </c>
      <c r="L282" s="1">
        <v>34.33</v>
      </c>
      <c r="M282" s="1">
        <v>24</v>
      </c>
      <c r="N282" s="1" t="s">
        <v>26</v>
      </c>
      <c r="O282" s="1" t="s">
        <v>46</v>
      </c>
    </row>
    <row r="283" spans="1:15" x14ac:dyDescent="0.2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x14ac:dyDescent="0.2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x14ac:dyDescent="0.2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x14ac:dyDescent="0.2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x14ac:dyDescent="0.2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x14ac:dyDescent="0.2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x14ac:dyDescent="0.25">
      <c r="A289" s="1">
        <v>100843</v>
      </c>
      <c r="B289" s="2">
        <v>45010</v>
      </c>
      <c r="C289" s="1" t="s">
        <v>339</v>
      </c>
      <c r="D289" s="1" t="s">
        <v>24</v>
      </c>
      <c r="E289" s="1" t="s">
        <v>25</v>
      </c>
      <c r="F289" s="1" t="s">
        <v>1254</v>
      </c>
      <c r="G289" s="1" t="s">
        <v>31</v>
      </c>
      <c r="H289" s="1">
        <v>2</v>
      </c>
      <c r="I289" s="1">
        <v>94.66</v>
      </c>
      <c r="J289" s="1">
        <v>10</v>
      </c>
      <c r="K289" s="1">
        <v>170.39</v>
      </c>
      <c r="L289" s="1">
        <v>58.52</v>
      </c>
      <c r="M289" s="1">
        <v>16</v>
      </c>
      <c r="N289" s="1" t="s">
        <v>26</v>
      </c>
      <c r="O289" s="1" t="s">
        <v>43</v>
      </c>
    </row>
    <row r="290" spans="1:15" x14ac:dyDescent="0.2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x14ac:dyDescent="0.2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x14ac:dyDescent="0.25">
      <c r="A292" s="1">
        <v>100442</v>
      </c>
      <c r="B292" s="2">
        <v>45721</v>
      </c>
      <c r="C292" s="1" t="s">
        <v>342</v>
      </c>
      <c r="D292" s="1" t="s">
        <v>73</v>
      </c>
      <c r="E292" s="1" t="s">
        <v>25</v>
      </c>
      <c r="F292" s="1" t="s">
        <v>1240</v>
      </c>
      <c r="G292" s="1" t="s">
        <v>31</v>
      </c>
      <c r="H292" s="1">
        <v>2</v>
      </c>
      <c r="I292" s="1">
        <v>35.200000000000003</v>
      </c>
      <c r="J292" s="1">
        <v>5</v>
      </c>
      <c r="K292" s="1">
        <v>66.88</v>
      </c>
      <c r="L292" s="1">
        <v>17.920000000000002</v>
      </c>
      <c r="M292" s="1">
        <v>39</v>
      </c>
      <c r="N292" s="1" t="s">
        <v>26</v>
      </c>
      <c r="O292" s="1" t="s">
        <v>35</v>
      </c>
    </row>
    <row r="293" spans="1:15" x14ac:dyDescent="0.2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x14ac:dyDescent="0.2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x14ac:dyDescent="0.25">
      <c r="A295" s="1">
        <v>101168</v>
      </c>
      <c r="B295" s="2">
        <v>45520</v>
      </c>
      <c r="C295" s="1" t="s">
        <v>345</v>
      </c>
      <c r="D295" s="1" t="s">
        <v>56</v>
      </c>
      <c r="E295" s="1" t="s">
        <v>30</v>
      </c>
      <c r="F295" s="1" t="s">
        <v>1254</v>
      </c>
      <c r="G295" s="1" t="s">
        <v>18</v>
      </c>
      <c r="H295" s="1">
        <v>2</v>
      </c>
      <c r="I295" s="1">
        <v>45.69</v>
      </c>
      <c r="J295" s="1">
        <v>0</v>
      </c>
      <c r="K295" s="1">
        <v>91.38</v>
      </c>
      <c r="L295" s="1">
        <v>36.33</v>
      </c>
      <c r="M295" s="1">
        <v>26</v>
      </c>
      <c r="N295" s="1" t="s">
        <v>19</v>
      </c>
      <c r="O295" s="1" t="s">
        <v>43</v>
      </c>
    </row>
    <row r="296" spans="1:15" x14ac:dyDescent="0.25">
      <c r="A296" s="1">
        <v>100100</v>
      </c>
      <c r="B296" s="2">
        <v>45592</v>
      </c>
      <c r="C296" s="1" t="s">
        <v>346</v>
      </c>
      <c r="D296" s="1" t="s">
        <v>24</v>
      </c>
      <c r="E296" s="1" t="s">
        <v>25</v>
      </c>
      <c r="F296" s="1" t="s">
        <v>1254</v>
      </c>
      <c r="G296" s="1" t="s">
        <v>48</v>
      </c>
      <c r="H296" s="1">
        <v>4</v>
      </c>
      <c r="I296" s="1">
        <v>97.97</v>
      </c>
      <c r="J296" s="1">
        <v>0</v>
      </c>
      <c r="K296" s="1">
        <v>391.88</v>
      </c>
      <c r="L296" s="1">
        <v>115.9</v>
      </c>
      <c r="M296" s="1">
        <v>34</v>
      </c>
      <c r="N296" s="1" t="s">
        <v>26</v>
      </c>
      <c r="O296" s="1" t="s">
        <v>43</v>
      </c>
    </row>
    <row r="297" spans="1:15" x14ac:dyDescent="0.25">
      <c r="A297" s="1">
        <v>100772</v>
      </c>
      <c r="B297" s="2">
        <v>45805</v>
      </c>
      <c r="C297" s="1" t="s">
        <v>347</v>
      </c>
      <c r="D297" s="1" t="s">
        <v>29</v>
      </c>
      <c r="E297" s="1" t="s">
        <v>30</v>
      </c>
      <c r="F297" s="1" t="s">
        <v>1254</v>
      </c>
      <c r="G297" s="1" t="s">
        <v>18</v>
      </c>
      <c r="H297" s="1">
        <v>4</v>
      </c>
      <c r="I297" s="1">
        <v>18.440000000000001</v>
      </c>
      <c r="J297" s="1">
        <v>5</v>
      </c>
      <c r="K297" s="1">
        <v>70.069999999999993</v>
      </c>
      <c r="L297" s="1">
        <v>17.75</v>
      </c>
      <c r="M297" s="1">
        <v>28</v>
      </c>
      <c r="N297" s="1" t="s">
        <v>19</v>
      </c>
      <c r="O297" s="1" t="s">
        <v>20</v>
      </c>
    </row>
    <row r="298" spans="1:15" x14ac:dyDescent="0.2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x14ac:dyDescent="0.2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x14ac:dyDescent="0.25">
      <c r="A300" s="1">
        <v>100806</v>
      </c>
      <c r="B300" s="2">
        <v>45462</v>
      </c>
      <c r="C300" s="1" t="s">
        <v>350</v>
      </c>
      <c r="D300" s="1" t="s">
        <v>34</v>
      </c>
      <c r="E300" s="1" t="s">
        <v>30</v>
      </c>
      <c r="F300" s="1" t="s">
        <v>1240</v>
      </c>
      <c r="G300" s="1" t="s">
        <v>18</v>
      </c>
      <c r="H300" s="1">
        <v>3</v>
      </c>
      <c r="I300" s="1">
        <v>57.97</v>
      </c>
      <c r="J300" s="1">
        <v>5</v>
      </c>
      <c r="K300" s="1">
        <v>165.21</v>
      </c>
      <c r="L300" s="1">
        <v>38.729999999999997</v>
      </c>
      <c r="M300" s="1">
        <v>32</v>
      </c>
      <c r="N300" s="1" t="s">
        <v>26</v>
      </c>
      <c r="O300" s="1" t="s">
        <v>27</v>
      </c>
    </row>
    <row r="301" spans="1:15" x14ac:dyDescent="0.25">
      <c r="A301" s="1">
        <v>101141</v>
      </c>
      <c r="B301" s="2">
        <v>45790</v>
      </c>
      <c r="C301" s="1" t="s">
        <v>351</v>
      </c>
      <c r="D301" s="1" t="s">
        <v>59</v>
      </c>
      <c r="E301" s="1" t="s">
        <v>17</v>
      </c>
      <c r="F301" s="1" t="s">
        <v>1240</v>
      </c>
      <c r="G301" s="1" t="s">
        <v>18</v>
      </c>
      <c r="H301" s="1">
        <v>2</v>
      </c>
      <c r="I301" s="1">
        <v>30.73</v>
      </c>
      <c r="J301" s="1">
        <v>0</v>
      </c>
      <c r="K301" s="1">
        <v>61.46</v>
      </c>
      <c r="L301" s="1">
        <v>18.68</v>
      </c>
      <c r="M301" s="1">
        <v>31</v>
      </c>
      <c r="N301" s="1" t="s">
        <v>19</v>
      </c>
      <c r="O301" s="1" t="s">
        <v>35</v>
      </c>
    </row>
    <row r="302" spans="1:15" x14ac:dyDescent="0.25">
      <c r="A302" s="1">
        <v>100845</v>
      </c>
      <c r="B302" s="2">
        <v>45676</v>
      </c>
      <c r="C302" s="1" t="s">
        <v>352</v>
      </c>
      <c r="D302" s="1" t="s">
        <v>34</v>
      </c>
      <c r="E302" s="1" t="s">
        <v>30</v>
      </c>
      <c r="F302" s="1" t="s">
        <v>1240</v>
      </c>
      <c r="G302" s="1" t="s">
        <v>18</v>
      </c>
      <c r="H302" s="1">
        <v>3</v>
      </c>
      <c r="I302" s="1">
        <v>61.27</v>
      </c>
      <c r="J302" s="1">
        <v>0</v>
      </c>
      <c r="K302" s="1">
        <v>183.81</v>
      </c>
      <c r="L302" s="1">
        <v>62.6</v>
      </c>
      <c r="M302" s="1">
        <v>33</v>
      </c>
      <c r="N302" s="1" t="s">
        <v>19</v>
      </c>
      <c r="O302" s="1" t="s">
        <v>35</v>
      </c>
    </row>
    <row r="303" spans="1:15" x14ac:dyDescent="0.25">
      <c r="A303" s="1">
        <v>100986</v>
      </c>
      <c r="B303" s="2">
        <v>45441</v>
      </c>
      <c r="C303" s="1" t="s">
        <v>353</v>
      </c>
      <c r="D303" s="1" t="s">
        <v>87</v>
      </c>
      <c r="E303" s="1" t="s">
        <v>25</v>
      </c>
      <c r="F303" s="1" t="s">
        <v>1254</v>
      </c>
      <c r="G303" s="1" t="s">
        <v>31</v>
      </c>
      <c r="H303" s="1">
        <v>1</v>
      </c>
      <c r="I303" s="1">
        <v>80.89</v>
      </c>
      <c r="J303" s="1">
        <v>40</v>
      </c>
      <c r="K303" s="1">
        <v>48.53</v>
      </c>
      <c r="L303" s="1">
        <v>16.34</v>
      </c>
      <c r="M303" s="1">
        <v>19</v>
      </c>
      <c r="N303" s="1" t="s">
        <v>19</v>
      </c>
      <c r="O303" s="1" t="s">
        <v>51</v>
      </c>
    </row>
    <row r="304" spans="1:15" x14ac:dyDescent="0.2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x14ac:dyDescent="0.2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x14ac:dyDescent="0.2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x14ac:dyDescent="0.2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x14ac:dyDescent="0.25">
      <c r="A308" s="1">
        <v>100924</v>
      </c>
      <c r="B308" s="2">
        <v>45516</v>
      </c>
      <c r="C308" s="1" t="s">
        <v>358</v>
      </c>
      <c r="D308" s="1" t="s">
        <v>70</v>
      </c>
      <c r="E308" s="1" t="s">
        <v>25</v>
      </c>
      <c r="F308" s="1" t="s">
        <v>1240</v>
      </c>
      <c r="G308" s="1" t="s">
        <v>48</v>
      </c>
      <c r="H308" s="1">
        <v>2</v>
      </c>
      <c r="I308" s="1">
        <v>149.1</v>
      </c>
      <c r="J308" s="1">
        <v>0</v>
      </c>
      <c r="K308" s="1">
        <v>298.2</v>
      </c>
      <c r="L308" s="1">
        <v>76.67</v>
      </c>
      <c r="M308" s="1">
        <v>29</v>
      </c>
      <c r="N308" s="1" t="s">
        <v>26</v>
      </c>
      <c r="O308" s="1" t="s">
        <v>20</v>
      </c>
    </row>
    <row r="309" spans="1:15" x14ac:dyDescent="0.25">
      <c r="A309" s="1">
        <v>100066</v>
      </c>
      <c r="B309" s="2">
        <v>45472</v>
      </c>
      <c r="C309" s="1" t="s">
        <v>359</v>
      </c>
      <c r="D309" s="1" t="s">
        <v>34</v>
      </c>
      <c r="E309" s="1" t="s">
        <v>30</v>
      </c>
      <c r="F309" s="1" t="s">
        <v>1240</v>
      </c>
      <c r="G309" s="1" t="s">
        <v>31</v>
      </c>
      <c r="H309" s="1">
        <v>1</v>
      </c>
      <c r="I309" s="1">
        <v>64.12</v>
      </c>
      <c r="J309" s="1">
        <v>0</v>
      </c>
      <c r="K309" s="1">
        <v>64.12</v>
      </c>
      <c r="L309" s="1">
        <v>20.440000000000001</v>
      </c>
      <c r="M309" s="1">
        <v>27</v>
      </c>
      <c r="N309" s="1" t="s">
        <v>26</v>
      </c>
      <c r="O309" s="1" t="s">
        <v>32</v>
      </c>
    </row>
    <row r="310" spans="1:15" x14ac:dyDescent="0.2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x14ac:dyDescent="0.25">
      <c r="A311" s="1">
        <v>100816</v>
      </c>
      <c r="B311" s="2">
        <v>45032</v>
      </c>
      <c r="C311" s="1" t="s">
        <v>361</v>
      </c>
      <c r="D311" s="1" t="s">
        <v>34</v>
      </c>
      <c r="E311" s="1" t="s">
        <v>30</v>
      </c>
      <c r="F311" s="1" t="s">
        <v>1254</v>
      </c>
      <c r="G311" s="1" t="s">
        <v>31</v>
      </c>
      <c r="H311" s="1">
        <v>5</v>
      </c>
      <c r="I311" s="1">
        <v>58.03</v>
      </c>
      <c r="J311" s="1">
        <v>0</v>
      </c>
      <c r="K311" s="1">
        <v>290.14999999999998</v>
      </c>
      <c r="L311" s="1">
        <v>101.53</v>
      </c>
      <c r="M311" s="1">
        <v>25</v>
      </c>
      <c r="N311" s="1" t="s">
        <v>19</v>
      </c>
      <c r="O311" s="1" t="s">
        <v>20</v>
      </c>
    </row>
    <row r="312" spans="1:15" x14ac:dyDescent="0.25">
      <c r="A312" s="1">
        <v>100211</v>
      </c>
      <c r="B312" s="2">
        <v>45458</v>
      </c>
      <c r="C312" s="1" t="s">
        <v>362</v>
      </c>
      <c r="D312" s="1" t="s">
        <v>73</v>
      </c>
      <c r="E312" s="1" t="s">
        <v>25</v>
      </c>
      <c r="F312" s="1" t="s">
        <v>1239</v>
      </c>
      <c r="G312" s="1" t="s">
        <v>31</v>
      </c>
      <c r="H312" s="1">
        <v>3</v>
      </c>
      <c r="I312" s="1">
        <v>40.36</v>
      </c>
      <c r="J312" s="1">
        <v>0</v>
      </c>
      <c r="K312" s="1">
        <v>121.08</v>
      </c>
      <c r="L312" s="1">
        <v>36.14</v>
      </c>
      <c r="M312" s="1">
        <v>46</v>
      </c>
      <c r="N312" s="1" t="s">
        <v>26</v>
      </c>
      <c r="O312" s="1" t="s">
        <v>35</v>
      </c>
    </row>
    <row r="313" spans="1:15" x14ac:dyDescent="0.2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x14ac:dyDescent="0.25">
      <c r="A314" s="1">
        <v>100493</v>
      </c>
      <c r="B314" s="2">
        <v>45926</v>
      </c>
      <c r="C314" s="1" t="s">
        <v>364</v>
      </c>
      <c r="D314" s="1" t="s">
        <v>42</v>
      </c>
      <c r="E314" s="1" t="s">
        <v>25</v>
      </c>
      <c r="F314" s="1" t="s">
        <v>1240</v>
      </c>
      <c r="G314" s="1" t="s">
        <v>18</v>
      </c>
      <c r="H314" s="1">
        <v>5</v>
      </c>
      <c r="I314" s="1">
        <v>163.98</v>
      </c>
      <c r="J314" s="1">
        <v>10</v>
      </c>
      <c r="K314" s="1">
        <v>737.91</v>
      </c>
      <c r="L314" s="1">
        <v>217.96</v>
      </c>
      <c r="M314" s="1">
        <v>20</v>
      </c>
      <c r="N314" s="1" t="s">
        <v>19</v>
      </c>
      <c r="O314" s="1" t="s">
        <v>32</v>
      </c>
    </row>
    <row r="315" spans="1:15" x14ac:dyDescent="0.2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x14ac:dyDescent="0.25">
      <c r="A316" s="1">
        <v>100299</v>
      </c>
      <c r="B316" s="2">
        <v>45808</v>
      </c>
      <c r="C316" s="1" t="s">
        <v>366</v>
      </c>
      <c r="D316" s="1" t="s">
        <v>100</v>
      </c>
      <c r="E316" s="1" t="s">
        <v>25</v>
      </c>
      <c r="F316" s="1" t="s">
        <v>1240</v>
      </c>
      <c r="G316" s="1" t="s">
        <v>18</v>
      </c>
      <c r="H316" s="1">
        <v>3</v>
      </c>
      <c r="I316" s="1">
        <v>129.63</v>
      </c>
      <c r="J316" s="1">
        <v>0</v>
      </c>
      <c r="K316" s="1">
        <v>388.89</v>
      </c>
      <c r="L316" s="1">
        <v>108.37</v>
      </c>
      <c r="M316" s="1">
        <v>25</v>
      </c>
      <c r="N316" s="1" t="s">
        <v>26</v>
      </c>
      <c r="O316" s="1" t="s">
        <v>51</v>
      </c>
    </row>
    <row r="317" spans="1:15" x14ac:dyDescent="0.2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x14ac:dyDescent="0.25">
      <c r="A318" s="1">
        <v>100756</v>
      </c>
      <c r="B318" s="2">
        <v>45221</v>
      </c>
      <c r="C318" s="1" t="s">
        <v>368</v>
      </c>
      <c r="D318" s="1" t="s">
        <v>22</v>
      </c>
      <c r="E318" s="1" t="s">
        <v>17</v>
      </c>
      <c r="F318" s="1" t="s">
        <v>1239</v>
      </c>
      <c r="G318" s="1" t="s">
        <v>18</v>
      </c>
      <c r="H318" s="1">
        <v>4</v>
      </c>
      <c r="I318" s="1">
        <v>24.96</v>
      </c>
      <c r="J318" s="1">
        <v>10</v>
      </c>
      <c r="K318" s="1">
        <v>89.86</v>
      </c>
      <c r="L318" s="1">
        <v>21.45</v>
      </c>
      <c r="M318" s="1">
        <v>37</v>
      </c>
      <c r="N318" s="1" t="s">
        <v>26</v>
      </c>
      <c r="O318" s="1" t="s">
        <v>27</v>
      </c>
    </row>
    <row r="319" spans="1:15" x14ac:dyDescent="0.25">
      <c r="A319" s="1">
        <v>101074</v>
      </c>
      <c r="B319" s="2">
        <v>45301</v>
      </c>
      <c r="C319" s="1" t="s">
        <v>369</v>
      </c>
      <c r="D319" s="1" t="s">
        <v>68</v>
      </c>
      <c r="E319" s="1" t="s">
        <v>25</v>
      </c>
      <c r="F319" s="1" t="s">
        <v>1240</v>
      </c>
      <c r="G319" s="1" t="s">
        <v>31</v>
      </c>
      <c r="H319" s="1">
        <v>3</v>
      </c>
      <c r="I319" s="1">
        <v>219.01</v>
      </c>
      <c r="J319" s="1">
        <v>10</v>
      </c>
      <c r="K319" s="1">
        <v>591.33000000000004</v>
      </c>
      <c r="L319" s="1">
        <v>166.09</v>
      </c>
      <c r="M319" s="1">
        <v>34</v>
      </c>
      <c r="N319" s="1" t="s">
        <v>19</v>
      </c>
      <c r="O319" s="1" t="s">
        <v>35</v>
      </c>
    </row>
    <row r="320" spans="1:15" x14ac:dyDescent="0.25">
      <c r="A320" s="1">
        <v>100695</v>
      </c>
      <c r="B320" s="2">
        <v>45680</v>
      </c>
      <c r="C320" s="1" t="s">
        <v>370</v>
      </c>
      <c r="D320" s="1" t="s">
        <v>70</v>
      </c>
      <c r="E320" s="1" t="s">
        <v>25</v>
      </c>
      <c r="F320" s="1" t="s">
        <v>1254</v>
      </c>
      <c r="G320" s="1" t="s">
        <v>18</v>
      </c>
      <c r="H320" s="1">
        <v>3</v>
      </c>
      <c r="I320" s="1">
        <v>162.84</v>
      </c>
      <c r="J320" s="1">
        <v>0</v>
      </c>
      <c r="K320" s="1">
        <v>488.52</v>
      </c>
      <c r="L320" s="1">
        <v>148.62</v>
      </c>
      <c r="M320" s="1">
        <v>43</v>
      </c>
      <c r="N320" s="1" t="s">
        <v>26</v>
      </c>
      <c r="O320" s="1" t="s">
        <v>32</v>
      </c>
    </row>
    <row r="321" spans="1:15" x14ac:dyDescent="0.25">
      <c r="A321" s="1">
        <v>101150</v>
      </c>
      <c r="B321" s="2">
        <v>45725</v>
      </c>
      <c r="C321" s="1" t="s">
        <v>371</v>
      </c>
      <c r="D321" s="1" t="s">
        <v>62</v>
      </c>
      <c r="E321" s="1" t="s">
        <v>17</v>
      </c>
      <c r="F321" s="1" t="s">
        <v>1240</v>
      </c>
      <c r="G321" s="1" t="s">
        <v>18</v>
      </c>
      <c r="H321" s="1">
        <v>2</v>
      </c>
      <c r="I321" s="1">
        <v>140.49</v>
      </c>
      <c r="J321" s="1">
        <v>20</v>
      </c>
      <c r="K321" s="1">
        <v>224.78</v>
      </c>
      <c r="L321" s="1">
        <v>75.83</v>
      </c>
      <c r="M321" s="1">
        <v>29</v>
      </c>
      <c r="N321" s="1" t="s">
        <v>26</v>
      </c>
      <c r="O321" s="1" t="s">
        <v>27</v>
      </c>
    </row>
    <row r="322" spans="1:15" x14ac:dyDescent="0.2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x14ac:dyDescent="0.2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x14ac:dyDescent="0.25">
      <c r="A324" s="1">
        <v>100527</v>
      </c>
      <c r="B324" s="2">
        <v>45094</v>
      </c>
      <c r="C324" s="1" t="s">
        <v>374</v>
      </c>
      <c r="D324" s="1" t="s">
        <v>62</v>
      </c>
      <c r="E324" s="1" t="s">
        <v>17</v>
      </c>
      <c r="F324" s="1" t="s">
        <v>1240</v>
      </c>
      <c r="G324" s="1" t="s">
        <v>18</v>
      </c>
      <c r="H324" s="1">
        <v>2</v>
      </c>
      <c r="I324" s="1">
        <v>149.47</v>
      </c>
      <c r="J324" s="1">
        <v>0</v>
      </c>
      <c r="K324" s="1">
        <v>298.94</v>
      </c>
      <c r="L324" s="1">
        <v>82.76</v>
      </c>
      <c r="M324" s="1">
        <v>43</v>
      </c>
      <c r="N324" s="1" t="s">
        <v>19</v>
      </c>
      <c r="O324" s="1" t="s">
        <v>20</v>
      </c>
    </row>
    <row r="325" spans="1:15" x14ac:dyDescent="0.25">
      <c r="A325" s="1">
        <v>100599</v>
      </c>
      <c r="B325" s="2">
        <v>45880</v>
      </c>
      <c r="C325" s="1" t="s">
        <v>375</v>
      </c>
      <c r="D325" s="1" t="s">
        <v>70</v>
      </c>
      <c r="E325" s="1" t="s">
        <v>25</v>
      </c>
      <c r="F325" s="1" t="s">
        <v>1240</v>
      </c>
      <c r="G325" s="1" t="s">
        <v>18</v>
      </c>
      <c r="H325" s="1">
        <v>4</v>
      </c>
      <c r="I325" s="1">
        <v>155.11000000000001</v>
      </c>
      <c r="J325" s="1">
        <v>10</v>
      </c>
      <c r="K325" s="1">
        <v>558.4</v>
      </c>
      <c r="L325" s="1">
        <v>140.93</v>
      </c>
      <c r="M325" s="1">
        <v>24</v>
      </c>
      <c r="N325" s="1" t="s">
        <v>26</v>
      </c>
      <c r="O325" s="1" t="s">
        <v>27</v>
      </c>
    </row>
    <row r="326" spans="1:15" x14ac:dyDescent="0.2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x14ac:dyDescent="0.25">
      <c r="A327" s="1">
        <v>100566</v>
      </c>
      <c r="B327" s="2">
        <v>45565</v>
      </c>
      <c r="C327" s="1" t="s">
        <v>377</v>
      </c>
      <c r="D327" s="1" t="s">
        <v>68</v>
      </c>
      <c r="E327" s="1" t="s">
        <v>25</v>
      </c>
      <c r="F327" s="1" t="s">
        <v>1254</v>
      </c>
      <c r="G327" s="1" t="s">
        <v>18</v>
      </c>
      <c r="H327" s="1">
        <v>3</v>
      </c>
      <c r="I327" s="1">
        <v>211.03</v>
      </c>
      <c r="J327" s="1">
        <v>5</v>
      </c>
      <c r="K327" s="1">
        <v>601.44000000000005</v>
      </c>
      <c r="L327" s="1">
        <v>181.47</v>
      </c>
      <c r="M327" s="1">
        <v>31</v>
      </c>
      <c r="N327" s="1" t="s">
        <v>19</v>
      </c>
      <c r="O327" s="1" t="s">
        <v>35</v>
      </c>
    </row>
    <row r="328" spans="1:15" x14ac:dyDescent="0.2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x14ac:dyDescent="0.25">
      <c r="A329" s="1">
        <v>100273</v>
      </c>
      <c r="B329" s="2">
        <v>45036</v>
      </c>
      <c r="C329" s="1" t="s">
        <v>379</v>
      </c>
      <c r="D329" s="1" t="s">
        <v>68</v>
      </c>
      <c r="E329" s="1" t="s">
        <v>25</v>
      </c>
      <c r="F329" s="1" t="s">
        <v>1239</v>
      </c>
      <c r="G329" s="1" t="s">
        <v>18</v>
      </c>
      <c r="H329" s="1">
        <v>2</v>
      </c>
      <c r="I329" s="1">
        <v>220.53</v>
      </c>
      <c r="J329" s="1">
        <v>5</v>
      </c>
      <c r="K329" s="1">
        <v>419.01</v>
      </c>
      <c r="L329" s="1">
        <v>123.73</v>
      </c>
      <c r="M329" s="1">
        <v>29</v>
      </c>
      <c r="N329" s="1" t="s">
        <v>19</v>
      </c>
      <c r="O329" s="1" t="s">
        <v>43</v>
      </c>
    </row>
    <row r="330" spans="1:15" x14ac:dyDescent="0.25">
      <c r="A330" s="1">
        <v>100966</v>
      </c>
      <c r="B330" s="2">
        <v>45816</v>
      </c>
      <c r="C330" s="1" t="s">
        <v>380</v>
      </c>
      <c r="D330" s="1" t="s">
        <v>42</v>
      </c>
      <c r="E330" s="1" t="s">
        <v>25</v>
      </c>
      <c r="F330" s="1" t="s">
        <v>1240</v>
      </c>
      <c r="G330" s="1" t="s">
        <v>18</v>
      </c>
      <c r="H330" s="1">
        <v>2</v>
      </c>
      <c r="I330" s="1">
        <v>161.53</v>
      </c>
      <c r="J330" s="1">
        <v>10</v>
      </c>
      <c r="K330" s="1">
        <v>290.75</v>
      </c>
      <c r="L330" s="1">
        <v>75.05</v>
      </c>
      <c r="M330" s="1">
        <v>16</v>
      </c>
      <c r="N330" s="1" t="s">
        <v>26</v>
      </c>
      <c r="O330" s="1" t="s">
        <v>81</v>
      </c>
    </row>
    <row r="331" spans="1:15" x14ac:dyDescent="0.2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x14ac:dyDescent="0.25">
      <c r="A332" s="1">
        <v>100405</v>
      </c>
      <c r="B332" s="2">
        <v>45277</v>
      </c>
      <c r="C332" s="1" t="s">
        <v>382</v>
      </c>
      <c r="D332" s="1" t="s">
        <v>53</v>
      </c>
      <c r="E332" s="1" t="s">
        <v>30</v>
      </c>
      <c r="F332" s="1" t="s">
        <v>1240</v>
      </c>
      <c r="G332" s="1" t="s">
        <v>64</v>
      </c>
      <c r="H332" s="1">
        <v>3</v>
      </c>
      <c r="I332" s="1">
        <v>19.11</v>
      </c>
      <c r="J332" s="1">
        <v>5</v>
      </c>
      <c r="K332" s="1">
        <v>54.46</v>
      </c>
      <c r="L332" s="1">
        <v>20.02</v>
      </c>
      <c r="M332" s="1">
        <v>30</v>
      </c>
      <c r="N332" s="1" t="s">
        <v>19</v>
      </c>
      <c r="O332" s="1" t="s">
        <v>32</v>
      </c>
    </row>
    <row r="333" spans="1:15" x14ac:dyDescent="0.25">
      <c r="A333" s="1">
        <v>100002</v>
      </c>
      <c r="B333" s="2">
        <v>45530</v>
      </c>
      <c r="C333" s="1" t="s">
        <v>383</v>
      </c>
      <c r="D333" s="1" t="s">
        <v>22</v>
      </c>
      <c r="E333" s="1" t="s">
        <v>17</v>
      </c>
      <c r="F333" s="1" t="s">
        <v>1240</v>
      </c>
      <c r="G333" s="1" t="s">
        <v>48</v>
      </c>
      <c r="H333" s="1">
        <v>3</v>
      </c>
      <c r="I333" s="1">
        <v>23.86</v>
      </c>
      <c r="J333" s="1">
        <v>0</v>
      </c>
      <c r="K333" s="1">
        <v>71.58</v>
      </c>
      <c r="L333" s="1">
        <v>16.07</v>
      </c>
      <c r="M333" s="1">
        <v>21</v>
      </c>
      <c r="N333" s="1" t="s">
        <v>19</v>
      </c>
      <c r="O333" s="1" t="s">
        <v>43</v>
      </c>
    </row>
    <row r="334" spans="1:15" x14ac:dyDescent="0.2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x14ac:dyDescent="0.2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x14ac:dyDescent="0.2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x14ac:dyDescent="0.25">
      <c r="A337" s="1">
        <v>100451</v>
      </c>
      <c r="B337" s="2">
        <v>45589</v>
      </c>
      <c r="C337" s="1" t="s">
        <v>386</v>
      </c>
      <c r="D337" s="1" t="s">
        <v>24</v>
      </c>
      <c r="E337" s="1" t="s">
        <v>25</v>
      </c>
      <c r="F337" s="1" t="s">
        <v>1240</v>
      </c>
      <c r="G337" s="1" t="s">
        <v>31</v>
      </c>
      <c r="H337" s="1">
        <v>1</v>
      </c>
      <c r="I337" s="1">
        <v>96.41</v>
      </c>
      <c r="J337" s="1">
        <v>0</v>
      </c>
      <c r="K337" s="1">
        <v>96.41</v>
      </c>
      <c r="L337" s="1">
        <v>36.99</v>
      </c>
      <c r="M337" s="1">
        <v>40</v>
      </c>
      <c r="N337" s="1" t="s">
        <v>26</v>
      </c>
      <c r="O337" s="1" t="s">
        <v>27</v>
      </c>
    </row>
    <row r="338" spans="1:15" x14ac:dyDescent="0.2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x14ac:dyDescent="0.25">
      <c r="A339" s="1">
        <v>100215</v>
      </c>
      <c r="B339" s="2">
        <v>45844</v>
      </c>
      <c r="C339" s="1" t="s">
        <v>388</v>
      </c>
      <c r="D339" s="1" t="s">
        <v>62</v>
      </c>
      <c r="E339" s="1" t="s">
        <v>17</v>
      </c>
      <c r="F339" s="1" t="s">
        <v>1239</v>
      </c>
      <c r="G339" s="1" t="s">
        <v>48</v>
      </c>
      <c r="H339" s="1">
        <v>6</v>
      </c>
      <c r="I339" s="1">
        <v>143.68</v>
      </c>
      <c r="J339" s="1">
        <v>0</v>
      </c>
      <c r="K339" s="1">
        <v>862.08</v>
      </c>
      <c r="L339" s="1">
        <v>302.91000000000003</v>
      </c>
      <c r="M339" s="1">
        <v>20</v>
      </c>
      <c r="N339" s="1" t="s">
        <v>26</v>
      </c>
      <c r="O339" s="1" t="s">
        <v>20</v>
      </c>
    </row>
    <row r="340" spans="1:15" x14ac:dyDescent="0.25">
      <c r="A340" s="1">
        <v>101085</v>
      </c>
      <c r="B340" s="2">
        <v>45646</v>
      </c>
      <c r="C340" s="1" t="s">
        <v>389</v>
      </c>
      <c r="D340" s="1" t="s">
        <v>87</v>
      </c>
      <c r="E340" s="1" t="s">
        <v>25</v>
      </c>
      <c r="F340" s="1" t="s">
        <v>1254</v>
      </c>
      <c r="G340" s="1" t="s">
        <v>31</v>
      </c>
      <c r="H340" s="1">
        <v>4</v>
      </c>
      <c r="I340" s="1">
        <v>67.959999999999994</v>
      </c>
      <c r="J340" s="1">
        <v>5</v>
      </c>
      <c r="K340" s="1">
        <v>258.25</v>
      </c>
      <c r="L340" s="1">
        <v>117.48</v>
      </c>
      <c r="M340" s="1">
        <v>27</v>
      </c>
      <c r="N340" s="1" t="s">
        <v>26</v>
      </c>
      <c r="O340" s="1" t="s">
        <v>35</v>
      </c>
    </row>
    <row r="341" spans="1:15" x14ac:dyDescent="0.25">
      <c r="A341" s="1">
        <v>100027</v>
      </c>
      <c r="B341" s="2">
        <v>45525</v>
      </c>
      <c r="C341" s="1" t="s">
        <v>390</v>
      </c>
      <c r="D341" s="1" t="s">
        <v>53</v>
      </c>
      <c r="E341" s="1" t="s">
        <v>30</v>
      </c>
      <c r="F341" s="1" t="s">
        <v>1254</v>
      </c>
      <c r="G341" s="1" t="s">
        <v>18</v>
      </c>
      <c r="H341" s="1">
        <v>5</v>
      </c>
      <c r="I341" s="1">
        <v>21.43</v>
      </c>
      <c r="J341" s="1">
        <v>0</v>
      </c>
      <c r="K341" s="1">
        <v>107.15</v>
      </c>
      <c r="L341" s="1">
        <v>45.59</v>
      </c>
      <c r="M341" s="1">
        <v>50</v>
      </c>
      <c r="N341" s="1" t="s">
        <v>19</v>
      </c>
      <c r="O341" s="1" t="s">
        <v>27</v>
      </c>
    </row>
    <row r="342" spans="1:15" x14ac:dyDescent="0.2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x14ac:dyDescent="0.25">
      <c r="A343" s="1">
        <v>100361</v>
      </c>
      <c r="B343" s="2">
        <v>45375</v>
      </c>
      <c r="C343" s="1" t="s">
        <v>392</v>
      </c>
      <c r="D343" s="1" t="s">
        <v>34</v>
      </c>
      <c r="E343" s="1" t="s">
        <v>30</v>
      </c>
      <c r="F343" s="1" t="s">
        <v>1254</v>
      </c>
      <c r="G343" s="1" t="s">
        <v>31</v>
      </c>
      <c r="H343" s="1">
        <v>4</v>
      </c>
      <c r="I343" s="1">
        <v>70.709999999999994</v>
      </c>
      <c r="J343" s="1">
        <v>0</v>
      </c>
      <c r="K343" s="1">
        <v>282.83999999999997</v>
      </c>
      <c r="L343" s="1">
        <v>77.739999999999995</v>
      </c>
      <c r="M343" s="1">
        <v>25</v>
      </c>
      <c r="N343" s="1" t="s">
        <v>26</v>
      </c>
      <c r="O343" s="1" t="s">
        <v>32</v>
      </c>
    </row>
    <row r="344" spans="1:15" x14ac:dyDescent="0.25">
      <c r="A344" s="1">
        <v>100822</v>
      </c>
      <c r="B344" s="2">
        <v>45216</v>
      </c>
      <c r="C344" s="1" t="s">
        <v>393</v>
      </c>
      <c r="D344" s="1" t="s">
        <v>24</v>
      </c>
      <c r="E344" s="1" t="s">
        <v>25</v>
      </c>
      <c r="F344" s="1" t="s">
        <v>1240</v>
      </c>
      <c r="G344" s="1" t="s">
        <v>18</v>
      </c>
      <c r="H344" s="1">
        <v>1</v>
      </c>
      <c r="I344" s="1">
        <v>98.91</v>
      </c>
      <c r="J344" s="1">
        <v>0</v>
      </c>
      <c r="K344" s="1">
        <v>98.91</v>
      </c>
      <c r="L344" s="1">
        <v>33.729999999999997</v>
      </c>
      <c r="M344" s="1">
        <v>22</v>
      </c>
      <c r="N344" s="1" t="s">
        <v>19</v>
      </c>
      <c r="O344" s="1" t="s">
        <v>27</v>
      </c>
    </row>
    <row r="345" spans="1:15" x14ac:dyDescent="0.2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x14ac:dyDescent="0.25">
      <c r="A346" s="1">
        <v>100628</v>
      </c>
      <c r="B346" s="2">
        <v>45684</v>
      </c>
      <c r="C346" s="1" t="s">
        <v>395</v>
      </c>
      <c r="D346" s="1" t="s">
        <v>77</v>
      </c>
      <c r="E346" s="1" t="s">
        <v>30</v>
      </c>
      <c r="F346" s="1" t="s">
        <v>1240</v>
      </c>
      <c r="G346" s="1" t="s">
        <v>31</v>
      </c>
      <c r="H346" s="1">
        <v>4</v>
      </c>
      <c r="I346" s="1">
        <v>41.47</v>
      </c>
      <c r="J346" s="1">
        <v>0</v>
      </c>
      <c r="K346" s="1">
        <v>165.88</v>
      </c>
      <c r="L346" s="1">
        <v>43.36</v>
      </c>
      <c r="M346" s="1">
        <v>16</v>
      </c>
      <c r="N346" s="1" t="s">
        <v>26</v>
      </c>
      <c r="O346" s="1" t="s">
        <v>27</v>
      </c>
    </row>
    <row r="347" spans="1:15" x14ac:dyDescent="0.2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x14ac:dyDescent="0.2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x14ac:dyDescent="0.25">
      <c r="A349" s="1">
        <v>100535</v>
      </c>
      <c r="B349" s="2">
        <v>45186</v>
      </c>
      <c r="C349" s="1" t="s">
        <v>398</v>
      </c>
      <c r="D349" s="1" t="s">
        <v>53</v>
      </c>
      <c r="E349" s="1" t="s">
        <v>30</v>
      </c>
      <c r="F349" s="1" t="s">
        <v>1240</v>
      </c>
      <c r="G349" s="1" t="s">
        <v>48</v>
      </c>
      <c r="H349" s="1">
        <v>2</v>
      </c>
      <c r="I349" s="1">
        <v>22.95</v>
      </c>
      <c r="J349" s="1">
        <v>0</v>
      </c>
      <c r="K349" s="1">
        <v>45.9</v>
      </c>
      <c r="L349" s="1">
        <v>16.100000000000001</v>
      </c>
      <c r="M349" s="1">
        <v>33</v>
      </c>
      <c r="N349" s="1" t="s">
        <v>19</v>
      </c>
      <c r="O349" s="1" t="s">
        <v>51</v>
      </c>
    </row>
    <row r="350" spans="1:15" x14ac:dyDescent="0.25">
      <c r="A350" s="1">
        <v>101049</v>
      </c>
      <c r="B350" s="2">
        <v>45584</v>
      </c>
      <c r="C350" s="1" t="s">
        <v>399</v>
      </c>
      <c r="D350" s="1" t="s">
        <v>37</v>
      </c>
      <c r="E350" s="1" t="s">
        <v>17</v>
      </c>
      <c r="F350" s="1" t="s">
        <v>1240</v>
      </c>
      <c r="G350" s="1" t="s">
        <v>18</v>
      </c>
      <c r="H350" s="1">
        <v>4</v>
      </c>
      <c r="I350" s="1">
        <v>75.430000000000007</v>
      </c>
      <c r="J350" s="1">
        <v>0</v>
      </c>
      <c r="K350" s="1">
        <v>301.72000000000003</v>
      </c>
      <c r="L350" s="1">
        <v>100.75</v>
      </c>
      <c r="M350" s="1">
        <v>30</v>
      </c>
      <c r="N350" s="1" t="s">
        <v>19</v>
      </c>
      <c r="O350" s="1" t="s">
        <v>43</v>
      </c>
    </row>
    <row r="351" spans="1:15" x14ac:dyDescent="0.2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x14ac:dyDescent="0.2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x14ac:dyDescent="0.25">
      <c r="A353" s="1">
        <v>100291</v>
      </c>
      <c r="B353" s="2">
        <v>45047</v>
      </c>
      <c r="C353" s="1" t="s">
        <v>402</v>
      </c>
      <c r="D353" s="1" t="s">
        <v>37</v>
      </c>
      <c r="E353" s="1" t="s">
        <v>17</v>
      </c>
      <c r="F353" s="1" t="s">
        <v>1240</v>
      </c>
      <c r="G353" s="1" t="s">
        <v>31</v>
      </c>
      <c r="H353" s="1">
        <v>3</v>
      </c>
      <c r="I353" s="1">
        <v>68.91</v>
      </c>
      <c r="J353" s="1">
        <v>5</v>
      </c>
      <c r="K353" s="1">
        <v>196.39</v>
      </c>
      <c r="L353" s="1">
        <v>41.2</v>
      </c>
      <c r="M353" s="1">
        <v>16</v>
      </c>
      <c r="N353" s="1" t="s">
        <v>26</v>
      </c>
      <c r="O353" s="1" t="s">
        <v>32</v>
      </c>
    </row>
    <row r="354" spans="1:15" x14ac:dyDescent="0.2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x14ac:dyDescent="0.25">
      <c r="A355" s="1">
        <v>100336</v>
      </c>
      <c r="B355" s="2">
        <v>45372</v>
      </c>
      <c r="C355" s="1" t="s">
        <v>404</v>
      </c>
      <c r="D355" s="1" t="s">
        <v>68</v>
      </c>
      <c r="E355" s="1" t="s">
        <v>25</v>
      </c>
      <c r="F355" s="1" t="s">
        <v>1240</v>
      </c>
      <c r="G355" s="1" t="s">
        <v>18</v>
      </c>
      <c r="H355" s="1">
        <v>1</v>
      </c>
      <c r="I355" s="1">
        <v>212.26</v>
      </c>
      <c r="J355" s="1">
        <v>20</v>
      </c>
      <c r="K355" s="1">
        <v>169.81</v>
      </c>
      <c r="L355" s="1">
        <v>32.200000000000003</v>
      </c>
      <c r="M355" s="1">
        <v>26</v>
      </c>
      <c r="N355" s="1" t="s">
        <v>19</v>
      </c>
      <c r="O355" s="1" t="s">
        <v>43</v>
      </c>
    </row>
    <row r="356" spans="1:15" x14ac:dyDescent="0.25">
      <c r="A356" s="1">
        <v>100584</v>
      </c>
      <c r="B356" s="2">
        <v>45154</v>
      </c>
      <c r="C356" s="1" t="s">
        <v>405</v>
      </c>
      <c r="D356" s="1" t="s">
        <v>73</v>
      </c>
      <c r="E356" s="1" t="s">
        <v>25</v>
      </c>
      <c r="F356" s="1" t="s">
        <v>1240</v>
      </c>
      <c r="G356" s="1" t="s">
        <v>64</v>
      </c>
      <c r="H356" s="1">
        <v>2</v>
      </c>
      <c r="I356" s="1">
        <v>34</v>
      </c>
      <c r="J356" s="1">
        <v>0</v>
      </c>
      <c r="K356" s="1">
        <v>68</v>
      </c>
      <c r="L356" s="1">
        <v>20.12</v>
      </c>
      <c r="M356" s="1">
        <v>24</v>
      </c>
      <c r="N356" s="1" t="s">
        <v>122</v>
      </c>
      <c r="O356" s="1" t="s">
        <v>46</v>
      </c>
    </row>
    <row r="357" spans="1:15" x14ac:dyDescent="0.25">
      <c r="A357" s="1">
        <v>100047</v>
      </c>
      <c r="B357" s="2">
        <v>45488</v>
      </c>
      <c r="C357" s="1" t="s">
        <v>406</v>
      </c>
      <c r="D357" s="1" t="s">
        <v>39</v>
      </c>
      <c r="E357" s="1" t="s">
        <v>25</v>
      </c>
      <c r="F357" s="1" t="s">
        <v>1240</v>
      </c>
      <c r="G357" s="1" t="s">
        <v>31</v>
      </c>
      <c r="H357" s="1">
        <v>2</v>
      </c>
      <c r="I357" s="1">
        <v>194.87</v>
      </c>
      <c r="J357" s="1">
        <v>5</v>
      </c>
      <c r="K357" s="1">
        <v>370.25</v>
      </c>
      <c r="L357" s="1">
        <v>134.53</v>
      </c>
      <c r="M357" s="1">
        <v>24</v>
      </c>
      <c r="N357" s="1" t="s">
        <v>19</v>
      </c>
      <c r="O357" s="1" t="s">
        <v>43</v>
      </c>
    </row>
    <row r="358" spans="1:15" x14ac:dyDescent="0.2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x14ac:dyDescent="0.2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x14ac:dyDescent="0.25">
      <c r="A360" s="1">
        <v>100798</v>
      </c>
      <c r="B360" s="2">
        <v>45570</v>
      </c>
      <c r="C360" s="1" t="s">
        <v>409</v>
      </c>
      <c r="D360" s="1" t="s">
        <v>22</v>
      </c>
      <c r="E360" s="1" t="s">
        <v>17</v>
      </c>
      <c r="F360" s="1" t="s">
        <v>1240</v>
      </c>
      <c r="G360" s="1" t="s">
        <v>64</v>
      </c>
      <c r="H360" s="1">
        <v>4</v>
      </c>
      <c r="I360" s="1">
        <v>24.24</v>
      </c>
      <c r="J360" s="1">
        <v>0</v>
      </c>
      <c r="K360" s="1">
        <v>96.96</v>
      </c>
      <c r="L360" s="1">
        <v>30.33</v>
      </c>
      <c r="M360" s="1">
        <v>16</v>
      </c>
      <c r="N360" s="1" t="s">
        <v>19</v>
      </c>
      <c r="O360" s="1" t="s">
        <v>46</v>
      </c>
    </row>
    <row r="361" spans="1:15" x14ac:dyDescent="0.2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x14ac:dyDescent="0.2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x14ac:dyDescent="0.25">
      <c r="A363" s="1">
        <v>100213</v>
      </c>
      <c r="B363" s="2">
        <v>45907</v>
      </c>
      <c r="C363" s="1" t="s">
        <v>412</v>
      </c>
      <c r="D363" s="1" t="s">
        <v>37</v>
      </c>
      <c r="E363" s="1" t="s">
        <v>17</v>
      </c>
      <c r="F363" s="1" t="s">
        <v>1240</v>
      </c>
      <c r="G363" s="1" t="s">
        <v>64</v>
      </c>
      <c r="H363" s="1">
        <v>3</v>
      </c>
      <c r="I363" s="1">
        <v>72.52</v>
      </c>
      <c r="J363" s="1">
        <v>40</v>
      </c>
      <c r="K363" s="1">
        <v>130.54</v>
      </c>
      <c r="L363" s="1">
        <v>49.34</v>
      </c>
      <c r="M363" s="1">
        <v>20</v>
      </c>
      <c r="N363" s="1" t="s">
        <v>122</v>
      </c>
      <c r="O363" s="1" t="s">
        <v>20</v>
      </c>
    </row>
    <row r="364" spans="1:15" x14ac:dyDescent="0.25">
      <c r="A364" s="1">
        <v>100120</v>
      </c>
      <c r="B364" s="2">
        <v>45209</v>
      </c>
      <c r="C364" s="1" t="s">
        <v>413</v>
      </c>
      <c r="D364" s="1" t="s">
        <v>73</v>
      </c>
      <c r="E364" s="1" t="s">
        <v>25</v>
      </c>
      <c r="F364" s="1" t="s">
        <v>1239</v>
      </c>
      <c r="G364" s="1" t="s">
        <v>48</v>
      </c>
      <c r="H364" s="1">
        <v>3</v>
      </c>
      <c r="I364" s="1">
        <v>33.35</v>
      </c>
      <c r="J364" s="1">
        <v>0</v>
      </c>
      <c r="K364" s="1">
        <v>100.05</v>
      </c>
      <c r="L364" s="1">
        <v>29.35</v>
      </c>
      <c r="M364" s="1">
        <v>21</v>
      </c>
      <c r="N364" s="1" t="s">
        <v>26</v>
      </c>
      <c r="O364" s="1" t="s">
        <v>51</v>
      </c>
    </row>
    <row r="365" spans="1:15" x14ac:dyDescent="0.2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x14ac:dyDescent="0.25">
      <c r="A366" s="1">
        <v>101067</v>
      </c>
      <c r="B366" s="2">
        <v>45019</v>
      </c>
      <c r="C366" s="1" t="s">
        <v>415</v>
      </c>
      <c r="D366" s="1" t="s">
        <v>66</v>
      </c>
      <c r="E366" s="1" t="s">
        <v>17</v>
      </c>
      <c r="F366" s="1" t="s">
        <v>1240</v>
      </c>
      <c r="G366" s="1" t="s">
        <v>18</v>
      </c>
      <c r="H366" s="1">
        <v>3</v>
      </c>
      <c r="I366" s="1">
        <v>119.28</v>
      </c>
      <c r="J366" s="1">
        <v>0</v>
      </c>
      <c r="K366" s="1">
        <v>357.84</v>
      </c>
      <c r="L366" s="1">
        <v>121.1</v>
      </c>
      <c r="M366" s="1">
        <v>32</v>
      </c>
      <c r="N366" s="1" t="s">
        <v>26</v>
      </c>
      <c r="O366" s="1" t="s">
        <v>32</v>
      </c>
    </row>
    <row r="367" spans="1:15" x14ac:dyDescent="0.2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x14ac:dyDescent="0.2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x14ac:dyDescent="0.2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x14ac:dyDescent="0.25">
      <c r="A370" s="1">
        <v>100746</v>
      </c>
      <c r="B370" s="2">
        <v>45227</v>
      </c>
      <c r="C370" s="1" t="s">
        <v>419</v>
      </c>
      <c r="D370" s="1" t="s">
        <v>53</v>
      </c>
      <c r="E370" s="1" t="s">
        <v>30</v>
      </c>
      <c r="F370" s="1" t="s">
        <v>1240</v>
      </c>
      <c r="G370" s="1" t="s">
        <v>18</v>
      </c>
      <c r="H370" s="1">
        <v>2</v>
      </c>
      <c r="I370" s="1">
        <v>18.37</v>
      </c>
      <c r="J370" s="1">
        <v>5</v>
      </c>
      <c r="K370" s="1">
        <v>34.9</v>
      </c>
      <c r="L370" s="1">
        <v>11.59</v>
      </c>
      <c r="M370" s="1">
        <v>16</v>
      </c>
      <c r="N370" s="1" t="s">
        <v>19</v>
      </c>
      <c r="O370" s="1" t="s">
        <v>81</v>
      </c>
    </row>
    <row r="371" spans="1:15" x14ac:dyDescent="0.25">
      <c r="A371" s="1">
        <v>100715</v>
      </c>
      <c r="B371" s="2">
        <v>45686</v>
      </c>
      <c r="C371" s="1" t="s">
        <v>420</v>
      </c>
      <c r="D371" s="1" t="s">
        <v>34</v>
      </c>
      <c r="E371" s="1" t="s">
        <v>30</v>
      </c>
      <c r="F371" s="1" t="s">
        <v>1240</v>
      </c>
      <c r="G371" s="1" t="s">
        <v>48</v>
      </c>
      <c r="H371" s="1">
        <v>3</v>
      </c>
      <c r="I371" s="1">
        <v>57.29</v>
      </c>
      <c r="J371" s="1">
        <v>0</v>
      </c>
      <c r="K371" s="1">
        <v>171.87</v>
      </c>
      <c r="L371" s="1">
        <v>70.94</v>
      </c>
      <c r="M371" s="1">
        <v>33</v>
      </c>
      <c r="N371" s="1" t="s">
        <v>19</v>
      </c>
      <c r="O371" s="1" t="s">
        <v>32</v>
      </c>
    </row>
    <row r="372" spans="1:15" x14ac:dyDescent="0.2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x14ac:dyDescent="0.2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x14ac:dyDescent="0.25">
      <c r="A374" s="1">
        <v>101045</v>
      </c>
      <c r="B374" s="2">
        <v>45628</v>
      </c>
      <c r="C374" s="1" t="s">
        <v>423</v>
      </c>
      <c r="D374" s="1" t="s">
        <v>45</v>
      </c>
      <c r="E374" s="1" t="s">
        <v>30</v>
      </c>
      <c r="F374" s="1" t="s">
        <v>1239</v>
      </c>
      <c r="G374" s="1" t="s">
        <v>18</v>
      </c>
      <c r="H374" s="1">
        <v>4</v>
      </c>
      <c r="I374" s="1">
        <v>17.440000000000001</v>
      </c>
      <c r="J374" s="1">
        <v>0</v>
      </c>
      <c r="K374" s="1">
        <v>69.760000000000005</v>
      </c>
      <c r="L374" s="1">
        <v>33.71</v>
      </c>
      <c r="M374" s="1">
        <v>28</v>
      </c>
      <c r="N374" s="1" t="s">
        <v>19</v>
      </c>
      <c r="O374" s="1" t="s">
        <v>32</v>
      </c>
    </row>
    <row r="375" spans="1:15" x14ac:dyDescent="0.2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x14ac:dyDescent="0.2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x14ac:dyDescent="0.2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x14ac:dyDescent="0.2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x14ac:dyDescent="0.2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x14ac:dyDescent="0.25">
      <c r="A380" s="1">
        <v>100923</v>
      </c>
      <c r="B380" s="2">
        <v>45771</v>
      </c>
      <c r="C380" s="1" t="s">
        <v>429</v>
      </c>
      <c r="D380" s="1" t="s">
        <v>62</v>
      </c>
      <c r="E380" s="1" t="s">
        <v>17</v>
      </c>
      <c r="F380" s="1" t="s">
        <v>1240</v>
      </c>
      <c r="G380" s="1" t="s">
        <v>18</v>
      </c>
      <c r="H380" s="1">
        <v>3</v>
      </c>
      <c r="I380" s="1">
        <v>143.41999999999999</v>
      </c>
      <c r="J380" s="1">
        <v>0</v>
      </c>
      <c r="K380" s="1">
        <v>430.26</v>
      </c>
      <c r="L380" s="1">
        <v>137.33000000000001</v>
      </c>
      <c r="M380" s="1">
        <v>37</v>
      </c>
      <c r="N380" s="1" t="s">
        <v>19</v>
      </c>
      <c r="O380" s="1" t="s">
        <v>46</v>
      </c>
    </row>
    <row r="381" spans="1:15" x14ac:dyDescent="0.25">
      <c r="A381" s="1">
        <v>100316</v>
      </c>
      <c r="B381" s="2">
        <v>45137</v>
      </c>
      <c r="C381" s="1" t="s">
        <v>430</v>
      </c>
      <c r="D381" s="1" t="s">
        <v>56</v>
      </c>
      <c r="E381" s="1" t="s">
        <v>30</v>
      </c>
      <c r="F381" s="1" t="s">
        <v>1240</v>
      </c>
      <c r="G381" s="1" t="s">
        <v>18</v>
      </c>
      <c r="H381" s="1">
        <v>4</v>
      </c>
      <c r="I381" s="1">
        <v>37.36</v>
      </c>
      <c r="J381" s="1">
        <v>0</v>
      </c>
      <c r="K381" s="1">
        <v>149.44</v>
      </c>
      <c r="L381" s="1">
        <v>42.96</v>
      </c>
      <c r="M381" s="1">
        <v>36</v>
      </c>
      <c r="N381" s="1" t="s">
        <v>19</v>
      </c>
      <c r="O381" s="1" t="s">
        <v>51</v>
      </c>
    </row>
    <row r="382" spans="1:15" x14ac:dyDescent="0.2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x14ac:dyDescent="0.25">
      <c r="A383" s="1">
        <v>101162</v>
      </c>
      <c r="B383" s="2">
        <v>45700</v>
      </c>
      <c r="C383" s="1" t="s">
        <v>432</v>
      </c>
      <c r="D383" s="1" t="s">
        <v>68</v>
      </c>
      <c r="E383" s="1" t="s">
        <v>25</v>
      </c>
      <c r="F383" s="1" t="s">
        <v>1240</v>
      </c>
      <c r="G383" s="1" t="s">
        <v>48</v>
      </c>
      <c r="H383" s="1">
        <v>1</v>
      </c>
      <c r="I383" s="1">
        <v>214.74</v>
      </c>
      <c r="J383" s="1">
        <v>0</v>
      </c>
      <c r="K383" s="1">
        <v>214.74</v>
      </c>
      <c r="L383" s="1">
        <v>60.58</v>
      </c>
      <c r="M383" s="1">
        <v>18</v>
      </c>
      <c r="N383" s="1" t="s">
        <v>26</v>
      </c>
      <c r="O383" s="1" t="s">
        <v>46</v>
      </c>
    </row>
    <row r="384" spans="1:15" x14ac:dyDescent="0.25">
      <c r="A384" s="1">
        <v>100528</v>
      </c>
      <c r="B384" s="2">
        <v>45349</v>
      </c>
      <c r="C384" s="1" t="s">
        <v>433</v>
      </c>
      <c r="D384" s="1" t="s">
        <v>73</v>
      </c>
      <c r="E384" s="1" t="s">
        <v>25</v>
      </c>
      <c r="F384" s="1" t="s">
        <v>1240</v>
      </c>
      <c r="G384" s="1" t="s">
        <v>18</v>
      </c>
      <c r="H384" s="1">
        <v>3</v>
      </c>
      <c r="I384" s="1">
        <v>38.49</v>
      </c>
      <c r="J384" s="1">
        <v>0</v>
      </c>
      <c r="K384" s="1">
        <v>115.47</v>
      </c>
      <c r="L384" s="1">
        <v>34.28</v>
      </c>
      <c r="M384" s="1">
        <v>25</v>
      </c>
      <c r="N384" s="1" t="s">
        <v>19</v>
      </c>
      <c r="O384" s="1" t="s">
        <v>46</v>
      </c>
    </row>
    <row r="385" spans="1:15" x14ac:dyDescent="0.2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x14ac:dyDescent="0.2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x14ac:dyDescent="0.25">
      <c r="A387" s="1">
        <v>100900</v>
      </c>
      <c r="B387" s="2">
        <v>45074</v>
      </c>
      <c r="C387" s="1" t="s">
        <v>436</v>
      </c>
      <c r="D387" s="1" t="s">
        <v>68</v>
      </c>
      <c r="E387" s="1" t="s">
        <v>25</v>
      </c>
      <c r="F387" s="1" t="s">
        <v>1240</v>
      </c>
      <c r="G387" s="1" t="s">
        <v>18</v>
      </c>
      <c r="H387" s="1">
        <v>4</v>
      </c>
      <c r="I387" s="1">
        <v>213.99</v>
      </c>
      <c r="J387" s="1">
        <v>0</v>
      </c>
      <c r="K387" s="1">
        <v>855.96</v>
      </c>
      <c r="L387" s="1">
        <v>293.89999999999998</v>
      </c>
      <c r="M387" s="1">
        <v>29</v>
      </c>
      <c r="N387" s="1" t="s">
        <v>26</v>
      </c>
      <c r="O387" s="1" t="s">
        <v>32</v>
      </c>
    </row>
    <row r="388" spans="1:15" x14ac:dyDescent="0.2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x14ac:dyDescent="0.25">
      <c r="A389" s="1">
        <v>100722</v>
      </c>
      <c r="B389" s="2">
        <v>45451</v>
      </c>
      <c r="C389" s="1" t="s">
        <v>438</v>
      </c>
      <c r="D389" s="1" t="s">
        <v>77</v>
      </c>
      <c r="E389" s="1" t="s">
        <v>30</v>
      </c>
      <c r="F389" s="1" t="s">
        <v>1240</v>
      </c>
      <c r="G389" s="1" t="s">
        <v>31</v>
      </c>
      <c r="H389" s="1">
        <v>1</v>
      </c>
      <c r="I389" s="1">
        <v>39.979999999999997</v>
      </c>
      <c r="J389" s="1">
        <v>10</v>
      </c>
      <c r="K389" s="1">
        <v>35.979999999999997</v>
      </c>
      <c r="L389" s="1">
        <v>11.33</v>
      </c>
      <c r="M389" s="1">
        <v>33</v>
      </c>
      <c r="N389" s="1" t="s">
        <v>26</v>
      </c>
      <c r="O389" s="1" t="s">
        <v>46</v>
      </c>
    </row>
    <row r="390" spans="1:15" x14ac:dyDescent="0.2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x14ac:dyDescent="0.25">
      <c r="A391" s="1">
        <v>100857</v>
      </c>
      <c r="B391" s="2">
        <v>45318</v>
      </c>
      <c r="C391" s="1" t="s">
        <v>440</v>
      </c>
      <c r="D391" s="1" t="s">
        <v>22</v>
      </c>
      <c r="E391" s="1" t="s">
        <v>17</v>
      </c>
      <c r="F391" s="1" t="s">
        <v>1239</v>
      </c>
      <c r="G391" s="1" t="s">
        <v>31</v>
      </c>
      <c r="H391" s="1">
        <v>1</v>
      </c>
      <c r="I391" s="1">
        <v>23.3</v>
      </c>
      <c r="J391" s="1">
        <v>10</v>
      </c>
      <c r="K391" s="1">
        <v>20.97</v>
      </c>
      <c r="L391" s="1">
        <v>6.89</v>
      </c>
      <c r="M391" s="1">
        <v>25</v>
      </c>
      <c r="N391" s="1" t="s">
        <v>26</v>
      </c>
      <c r="O391" s="1" t="s">
        <v>35</v>
      </c>
    </row>
    <row r="392" spans="1:15" x14ac:dyDescent="0.2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x14ac:dyDescent="0.2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x14ac:dyDescent="0.25">
      <c r="A394" s="1">
        <v>100932</v>
      </c>
      <c r="B394" s="2">
        <v>45614</v>
      </c>
      <c r="C394" s="1" t="s">
        <v>443</v>
      </c>
      <c r="D394" s="1" t="s">
        <v>39</v>
      </c>
      <c r="E394" s="1" t="s">
        <v>25</v>
      </c>
      <c r="F394" s="1" t="s">
        <v>1240</v>
      </c>
      <c r="G394" s="1" t="s">
        <v>18</v>
      </c>
      <c r="H394" s="1">
        <v>4</v>
      </c>
      <c r="I394" s="1">
        <v>158.80000000000001</v>
      </c>
      <c r="J394" s="1">
        <v>0</v>
      </c>
      <c r="K394" s="1">
        <v>635.20000000000005</v>
      </c>
      <c r="L394" s="1">
        <v>146.93</v>
      </c>
      <c r="M394" s="1">
        <v>20</v>
      </c>
      <c r="N394" s="1" t="s">
        <v>26</v>
      </c>
      <c r="O394" s="1" t="s">
        <v>81</v>
      </c>
    </row>
    <row r="395" spans="1:15" x14ac:dyDescent="0.2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x14ac:dyDescent="0.2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x14ac:dyDescent="0.25">
      <c r="A397" s="1">
        <v>101114</v>
      </c>
      <c r="B397" s="2">
        <v>45848</v>
      </c>
      <c r="C397" s="1" t="s">
        <v>446</v>
      </c>
      <c r="D397" s="1" t="s">
        <v>34</v>
      </c>
      <c r="E397" s="1" t="s">
        <v>30</v>
      </c>
      <c r="F397" s="1" t="s">
        <v>1240</v>
      </c>
      <c r="G397" s="1" t="s">
        <v>31</v>
      </c>
      <c r="H397" s="1">
        <v>1</v>
      </c>
      <c r="I397" s="1">
        <v>53.66</v>
      </c>
      <c r="J397" s="1">
        <v>10</v>
      </c>
      <c r="K397" s="1">
        <v>48.29</v>
      </c>
      <c r="L397" s="1">
        <v>18.54</v>
      </c>
      <c r="M397" s="1">
        <v>27</v>
      </c>
      <c r="N397" s="1" t="s">
        <v>19</v>
      </c>
      <c r="O397" s="1" t="s">
        <v>43</v>
      </c>
    </row>
    <row r="398" spans="1:15" x14ac:dyDescent="0.25">
      <c r="A398" s="1">
        <v>100359</v>
      </c>
      <c r="B398" s="2">
        <v>45071</v>
      </c>
      <c r="C398" s="1" t="s">
        <v>447</v>
      </c>
      <c r="D398" s="1" t="s">
        <v>66</v>
      </c>
      <c r="E398" s="1" t="s">
        <v>17</v>
      </c>
      <c r="F398" s="1" t="s">
        <v>1240</v>
      </c>
      <c r="G398" s="1" t="s">
        <v>64</v>
      </c>
      <c r="H398" s="1">
        <v>5</v>
      </c>
      <c r="I398" s="1">
        <v>122.2</v>
      </c>
      <c r="J398" s="1">
        <v>0</v>
      </c>
      <c r="K398" s="1">
        <v>611</v>
      </c>
      <c r="L398" s="1">
        <v>167.15</v>
      </c>
      <c r="M398" s="1">
        <v>33</v>
      </c>
      <c r="N398" s="1" t="s">
        <v>26</v>
      </c>
      <c r="O398" s="1" t="s">
        <v>27</v>
      </c>
    </row>
    <row r="399" spans="1:15" x14ac:dyDescent="0.25">
      <c r="A399" s="1">
        <v>100422</v>
      </c>
      <c r="B399" s="2">
        <v>45799</v>
      </c>
      <c r="C399" s="1" t="s">
        <v>448</v>
      </c>
      <c r="D399" s="1" t="s">
        <v>53</v>
      </c>
      <c r="E399" s="1" t="s">
        <v>30</v>
      </c>
      <c r="F399" s="1" t="s">
        <v>1240</v>
      </c>
      <c r="G399" s="1" t="s">
        <v>31</v>
      </c>
      <c r="H399" s="1">
        <v>5</v>
      </c>
      <c r="I399" s="1">
        <v>21.28</v>
      </c>
      <c r="J399" s="1">
        <v>0</v>
      </c>
      <c r="K399" s="1">
        <v>106.4</v>
      </c>
      <c r="L399" s="1">
        <v>40.22</v>
      </c>
      <c r="M399" s="1">
        <v>23</v>
      </c>
      <c r="N399" s="1" t="s">
        <v>26</v>
      </c>
      <c r="O399" s="1" t="s">
        <v>20</v>
      </c>
    </row>
    <row r="400" spans="1:15" x14ac:dyDescent="0.25">
      <c r="A400" s="1">
        <v>100678</v>
      </c>
      <c r="B400" s="2">
        <v>45123</v>
      </c>
      <c r="C400" s="1" t="s">
        <v>449</v>
      </c>
      <c r="D400" s="1" t="s">
        <v>87</v>
      </c>
      <c r="E400" s="1" t="s">
        <v>25</v>
      </c>
      <c r="F400" s="1" t="s">
        <v>1239</v>
      </c>
      <c r="G400" s="1" t="s">
        <v>31</v>
      </c>
      <c r="H400" s="1">
        <v>6</v>
      </c>
      <c r="I400" s="1">
        <v>89.06</v>
      </c>
      <c r="J400" s="1">
        <v>0</v>
      </c>
      <c r="K400" s="1">
        <v>534.36</v>
      </c>
      <c r="L400" s="1">
        <v>143.36000000000001</v>
      </c>
      <c r="M400" s="1">
        <v>29</v>
      </c>
      <c r="N400" s="1" t="s">
        <v>19</v>
      </c>
      <c r="O400" s="1" t="s">
        <v>51</v>
      </c>
    </row>
    <row r="401" spans="1:15" x14ac:dyDescent="0.2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x14ac:dyDescent="0.25">
      <c r="A402" s="1">
        <v>100477</v>
      </c>
      <c r="B402" s="2">
        <v>45386</v>
      </c>
      <c r="C402" s="1" t="s">
        <v>451</v>
      </c>
      <c r="D402" s="1" t="s">
        <v>100</v>
      </c>
      <c r="E402" s="1" t="s">
        <v>25</v>
      </c>
      <c r="F402" s="1" t="s">
        <v>1254</v>
      </c>
      <c r="G402" s="1" t="s">
        <v>18</v>
      </c>
      <c r="H402" s="1">
        <v>2</v>
      </c>
      <c r="I402" s="1">
        <v>123.83</v>
      </c>
      <c r="J402" s="1">
        <v>0</v>
      </c>
      <c r="K402" s="1">
        <v>247.66</v>
      </c>
      <c r="L402" s="1">
        <v>75.69</v>
      </c>
      <c r="M402" s="1">
        <v>33</v>
      </c>
      <c r="N402" s="1" t="s">
        <v>19</v>
      </c>
      <c r="O402" s="1" t="s">
        <v>35</v>
      </c>
    </row>
    <row r="403" spans="1:15" x14ac:dyDescent="0.25">
      <c r="A403" s="1">
        <v>101094</v>
      </c>
      <c r="B403" s="2">
        <v>45562</v>
      </c>
      <c r="C403" s="1" t="s">
        <v>452</v>
      </c>
      <c r="D403" s="1" t="s">
        <v>70</v>
      </c>
      <c r="E403" s="1" t="s">
        <v>25</v>
      </c>
      <c r="F403" s="1" t="s">
        <v>1240</v>
      </c>
      <c r="G403" s="1" t="s">
        <v>48</v>
      </c>
      <c r="H403" s="1">
        <v>4</v>
      </c>
      <c r="I403" s="1">
        <v>129.38</v>
      </c>
      <c r="J403" s="1">
        <v>0</v>
      </c>
      <c r="K403" s="1">
        <v>517.52</v>
      </c>
      <c r="L403" s="1">
        <v>124.13</v>
      </c>
      <c r="M403" s="1">
        <v>18</v>
      </c>
      <c r="N403" s="1" t="s">
        <v>26</v>
      </c>
      <c r="O403" s="1" t="s">
        <v>27</v>
      </c>
    </row>
    <row r="404" spans="1:15" x14ac:dyDescent="0.2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x14ac:dyDescent="0.2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x14ac:dyDescent="0.2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x14ac:dyDescent="0.2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x14ac:dyDescent="0.25">
      <c r="A408" s="1">
        <v>100370</v>
      </c>
      <c r="B408" s="2">
        <v>45784</v>
      </c>
      <c r="C408" s="1" t="s">
        <v>457</v>
      </c>
      <c r="D408" s="1" t="s">
        <v>22</v>
      </c>
      <c r="E408" s="1" t="s">
        <v>17</v>
      </c>
      <c r="F408" s="1" t="s">
        <v>1240</v>
      </c>
      <c r="G408" s="1" t="s">
        <v>31</v>
      </c>
      <c r="H408" s="1">
        <v>4</v>
      </c>
      <c r="I408" s="1">
        <v>24.73</v>
      </c>
      <c r="J408" s="1">
        <v>0</v>
      </c>
      <c r="K408" s="1">
        <v>98.92</v>
      </c>
      <c r="L408" s="1">
        <v>33.65</v>
      </c>
      <c r="M408" s="1">
        <v>45</v>
      </c>
      <c r="N408" s="1" t="s">
        <v>26</v>
      </c>
      <c r="O408" s="1" t="s">
        <v>43</v>
      </c>
    </row>
    <row r="409" spans="1:15" x14ac:dyDescent="0.2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x14ac:dyDescent="0.25">
      <c r="A410" s="1">
        <v>100708</v>
      </c>
      <c r="B410" s="2">
        <v>45473</v>
      </c>
      <c r="C410" s="1" t="s">
        <v>459</v>
      </c>
      <c r="D410" s="1" t="s">
        <v>16</v>
      </c>
      <c r="E410" s="1" t="s">
        <v>17</v>
      </c>
      <c r="F410" s="1" t="s">
        <v>1240</v>
      </c>
      <c r="G410" s="1" t="s">
        <v>64</v>
      </c>
      <c r="H410" s="1">
        <v>3</v>
      </c>
      <c r="I410" s="1">
        <v>57.58</v>
      </c>
      <c r="J410" s="1">
        <v>10</v>
      </c>
      <c r="K410" s="1">
        <v>155.47</v>
      </c>
      <c r="L410" s="1">
        <v>39.68</v>
      </c>
      <c r="M410" s="1">
        <v>42</v>
      </c>
      <c r="N410" s="1" t="s">
        <v>19</v>
      </c>
      <c r="O410" s="1" t="s">
        <v>46</v>
      </c>
    </row>
    <row r="411" spans="1:15" x14ac:dyDescent="0.25">
      <c r="A411" s="1">
        <v>100629</v>
      </c>
      <c r="B411" s="2">
        <v>45242</v>
      </c>
      <c r="C411" s="1" t="s">
        <v>460</v>
      </c>
      <c r="D411" s="1" t="s">
        <v>62</v>
      </c>
      <c r="E411" s="1" t="s">
        <v>17</v>
      </c>
      <c r="F411" s="1" t="s">
        <v>1240</v>
      </c>
      <c r="G411" s="1" t="s">
        <v>48</v>
      </c>
      <c r="H411" s="1">
        <v>4</v>
      </c>
      <c r="I411" s="1">
        <v>124.82</v>
      </c>
      <c r="J411" s="1">
        <v>10</v>
      </c>
      <c r="K411" s="1">
        <v>449.35</v>
      </c>
      <c r="L411" s="1">
        <v>136.62</v>
      </c>
      <c r="M411" s="1">
        <v>31</v>
      </c>
      <c r="N411" s="1" t="s">
        <v>19</v>
      </c>
      <c r="O411" s="1" t="s">
        <v>32</v>
      </c>
    </row>
    <row r="412" spans="1:15" x14ac:dyDescent="0.2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x14ac:dyDescent="0.2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x14ac:dyDescent="0.25">
      <c r="A414" s="1">
        <v>100700</v>
      </c>
      <c r="B414" s="2">
        <v>45016</v>
      </c>
      <c r="C414" s="1" t="s">
        <v>463</v>
      </c>
      <c r="D414" s="1" t="s">
        <v>24</v>
      </c>
      <c r="E414" s="1" t="s">
        <v>25</v>
      </c>
      <c r="F414" s="1" t="s">
        <v>1240</v>
      </c>
      <c r="G414" s="1" t="s">
        <v>64</v>
      </c>
      <c r="H414" s="1">
        <v>5</v>
      </c>
      <c r="I414" s="1">
        <v>89.74</v>
      </c>
      <c r="J414" s="1">
        <v>5</v>
      </c>
      <c r="K414" s="1">
        <v>426.26</v>
      </c>
      <c r="L414" s="1">
        <v>85.91</v>
      </c>
      <c r="M414" s="1">
        <v>28</v>
      </c>
      <c r="N414" s="1" t="s">
        <v>26</v>
      </c>
      <c r="O414" s="1" t="s">
        <v>35</v>
      </c>
    </row>
    <row r="415" spans="1:15" x14ac:dyDescent="0.25">
      <c r="A415" s="1">
        <v>100261</v>
      </c>
      <c r="B415" s="2">
        <v>45849</v>
      </c>
      <c r="C415" s="1" t="s">
        <v>259</v>
      </c>
      <c r="D415" s="1" t="s">
        <v>77</v>
      </c>
      <c r="E415" s="1" t="s">
        <v>30</v>
      </c>
      <c r="F415" s="1" t="s">
        <v>1240</v>
      </c>
      <c r="G415" s="1" t="s">
        <v>18</v>
      </c>
      <c r="H415" s="1">
        <v>6</v>
      </c>
      <c r="I415" s="1">
        <v>39.33</v>
      </c>
      <c r="J415" s="1">
        <v>5</v>
      </c>
      <c r="K415" s="1">
        <v>224.18</v>
      </c>
      <c r="L415" s="1">
        <v>84.62</v>
      </c>
      <c r="M415" s="1">
        <v>26</v>
      </c>
      <c r="N415" s="1" t="s">
        <v>19</v>
      </c>
      <c r="O415" s="1" t="s">
        <v>81</v>
      </c>
    </row>
    <row r="416" spans="1:15" x14ac:dyDescent="0.2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x14ac:dyDescent="0.25">
      <c r="A417" s="1">
        <v>100649</v>
      </c>
      <c r="B417" s="2">
        <v>44982</v>
      </c>
      <c r="C417" s="1" t="s">
        <v>465</v>
      </c>
      <c r="D417" s="1" t="s">
        <v>22</v>
      </c>
      <c r="E417" s="1" t="s">
        <v>17</v>
      </c>
      <c r="F417" s="1" t="s">
        <v>1240</v>
      </c>
      <c r="G417" s="1" t="s">
        <v>18</v>
      </c>
      <c r="H417" s="1">
        <v>2</v>
      </c>
      <c r="I417" s="1">
        <v>22.33</v>
      </c>
      <c r="J417" s="1">
        <v>0</v>
      </c>
      <c r="K417" s="1">
        <v>44.66</v>
      </c>
      <c r="L417" s="1">
        <v>11.29</v>
      </c>
      <c r="M417" s="1">
        <v>28</v>
      </c>
      <c r="N417" s="1" t="s">
        <v>26</v>
      </c>
      <c r="O417" s="1" t="s">
        <v>20</v>
      </c>
    </row>
    <row r="418" spans="1:15" x14ac:dyDescent="0.2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x14ac:dyDescent="0.25">
      <c r="A419" s="1">
        <v>100668</v>
      </c>
      <c r="B419" s="2">
        <v>44984</v>
      </c>
      <c r="C419" s="1" t="s">
        <v>467</v>
      </c>
      <c r="D419" s="1" t="s">
        <v>66</v>
      </c>
      <c r="E419" s="1" t="s">
        <v>17</v>
      </c>
      <c r="F419" s="1" t="s">
        <v>1240</v>
      </c>
      <c r="G419" s="1" t="s">
        <v>18</v>
      </c>
      <c r="H419" s="1">
        <v>3</v>
      </c>
      <c r="I419" s="1">
        <v>113.96</v>
      </c>
      <c r="J419" s="1">
        <v>0</v>
      </c>
      <c r="K419" s="1">
        <v>341.88</v>
      </c>
      <c r="L419" s="1">
        <v>80.36</v>
      </c>
      <c r="M419" s="1">
        <v>45</v>
      </c>
      <c r="N419" s="1" t="s">
        <v>19</v>
      </c>
      <c r="O419" s="1" t="s">
        <v>46</v>
      </c>
    </row>
    <row r="420" spans="1:15" x14ac:dyDescent="0.2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x14ac:dyDescent="0.25">
      <c r="A421" s="1">
        <v>100458</v>
      </c>
      <c r="B421" s="2">
        <v>45854</v>
      </c>
      <c r="C421" s="1" t="s">
        <v>469</v>
      </c>
      <c r="D421" s="1" t="s">
        <v>56</v>
      </c>
      <c r="E421" s="1" t="s">
        <v>30</v>
      </c>
      <c r="F421" s="1" t="s">
        <v>1240</v>
      </c>
      <c r="G421" s="1" t="s">
        <v>31</v>
      </c>
      <c r="H421" s="1">
        <v>3</v>
      </c>
      <c r="I421" s="1">
        <v>45.06</v>
      </c>
      <c r="J421" s="1">
        <v>10</v>
      </c>
      <c r="K421" s="1">
        <v>121.66</v>
      </c>
      <c r="L421" s="1">
        <v>39.409999999999997</v>
      </c>
      <c r="M421" s="1">
        <v>25</v>
      </c>
      <c r="N421" s="1" t="s">
        <v>26</v>
      </c>
      <c r="O421" s="1" t="s">
        <v>27</v>
      </c>
    </row>
    <row r="422" spans="1:15" x14ac:dyDescent="0.2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x14ac:dyDescent="0.2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x14ac:dyDescent="0.25">
      <c r="A424" s="1">
        <v>101160</v>
      </c>
      <c r="B424" s="2">
        <v>45924</v>
      </c>
      <c r="C424" s="1" t="s">
        <v>472</v>
      </c>
      <c r="D424" s="1" t="s">
        <v>22</v>
      </c>
      <c r="E424" s="1" t="s">
        <v>17</v>
      </c>
      <c r="F424" s="1" t="s">
        <v>1240</v>
      </c>
      <c r="G424" s="1" t="s">
        <v>31</v>
      </c>
      <c r="H424" s="1">
        <v>3</v>
      </c>
      <c r="I424" s="1">
        <v>25.83</v>
      </c>
      <c r="J424" s="1">
        <v>0</v>
      </c>
      <c r="K424" s="1">
        <v>77.489999999999995</v>
      </c>
      <c r="L424" s="1">
        <v>27.12</v>
      </c>
      <c r="M424" s="1">
        <v>37</v>
      </c>
      <c r="N424" s="1" t="s">
        <v>26</v>
      </c>
      <c r="O424" s="1" t="s">
        <v>43</v>
      </c>
    </row>
    <row r="425" spans="1:15" x14ac:dyDescent="0.25">
      <c r="A425" s="1">
        <v>100706</v>
      </c>
      <c r="B425" s="2">
        <v>45786</v>
      </c>
      <c r="C425" s="1" t="s">
        <v>473</v>
      </c>
      <c r="D425" s="1" t="s">
        <v>68</v>
      </c>
      <c r="E425" s="1" t="s">
        <v>25</v>
      </c>
      <c r="F425" s="1" t="s">
        <v>1240</v>
      </c>
      <c r="G425" s="1" t="s">
        <v>64</v>
      </c>
      <c r="H425" s="1">
        <v>2</v>
      </c>
      <c r="I425" s="1">
        <v>203.8</v>
      </c>
      <c r="J425" s="1">
        <v>20</v>
      </c>
      <c r="K425" s="1">
        <v>326.08</v>
      </c>
      <c r="L425" s="1">
        <v>89.79</v>
      </c>
      <c r="M425" s="1">
        <v>22</v>
      </c>
      <c r="N425" s="1" t="s">
        <v>19</v>
      </c>
      <c r="O425" s="1" t="s">
        <v>46</v>
      </c>
    </row>
    <row r="426" spans="1:15" x14ac:dyDescent="0.25">
      <c r="A426" s="1">
        <v>100581</v>
      </c>
      <c r="B426" s="2">
        <v>45690</v>
      </c>
      <c r="C426" s="1" t="s">
        <v>474</v>
      </c>
      <c r="D426" s="1" t="s">
        <v>22</v>
      </c>
      <c r="E426" s="1" t="s">
        <v>17</v>
      </c>
      <c r="F426" s="1" t="s">
        <v>1240</v>
      </c>
      <c r="G426" s="1" t="s">
        <v>18</v>
      </c>
      <c r="H426" s="1">
        <v>1</v>
      </c>
      <c r="I426" s="1">
        <v>24.55</v>
      </c>
      <c r="J426" s="1">
        <v>20</v>
      </c>
      <c r="K426" s="1">
        <v>19.64</v>
      </c>
      <c r="L426" s="1">
        <v>6.73</v>
      </c>
      <c r="M426" s="1">
        <v>43</v>
      </c>
      <c r="N426" s="1" t="s">
        <v>26</v>
      </c>
      <c r="O426" s="1" t="s">
        <v>20</v>
      </c>
    </row>
    <row r="427" spans="1:15" x14ac:dyDescent="0.2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x14ac:dyDescent="0.25">
      <c r="A428" s="1">
        <v>100768</v>
      </c>
      <c r="B428" s="2">
        <v>45150</v>
      </c>
      <c r="C428" s="1" t="s">
        <v>476</v>
      </c>
      <c r="D428" s="1" t="s">
        <v>68</v>
      </c>
      <c r="E428" s="1" t="s">
        <v>25</v>
      </c>
      <c r="F428" s="1" t="s">
        <v>1240</v>
      </c>
      <c r="G428" s="1" t="s">
        <v>18</v>
      </c>
      <c r="H428" s="1">
        <v>3</v>
      </c>
      <c r="I428" s="1">
        <v>238.57</v>
      </c>
      <c r="J428" s="1">
        <v>10</v>
      </c>
      <c r="K428" s="1">
        <v>644.14</v>
      </c>
      <c r="L428" s="1">
        <v>187.22</v>
      </c>
      <c r="M428" s="1">
        <v>39</v>
      </c>
      <c r="N428" s="1" t="s">
        <v>26</v>
      </c>
      <c r="O428" s="1" t="s">
        <v>81</v>
      </c>
    </row>
    <row r="429" spans="1:15" x14ac:dyDescent="0.2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x14ac:dyDescent="0.25">
      <c r="A430" s="1">
        <v>100761</v>
      </c>
      <c r="B430" s="2">
        <v>45807</v>
      </c>
      <c r="C430" s="1" t="s">
        <v>478</v>
      </c>
      <c r="D430" s="1" t="s">
        <v>24</v>
      </c>
      <c r="E430" s="1" t="s">
        <v>25</v>
      </c>
      <c r="F430" s="1" t="s">
        <v>1254</v>
      </c>
      <c r="G430" s="1" t="s">
        <v>18</v>
      </c>
      <c r="H430" s="1">
        <v>3</v>
      </c>
      <c r="I430" s="1">
        <v>107.31</v>
      </c>
      <c r="J430" s="1">
        <v>0</v>
      </c>
      <c r="K430" s="1">
        <v>321.93</v>
      </c>
      <c r="L430" s="1">
        <v>90.73</v>
      </c>
      <c r="M430" s="1">
        <v>16</v>
      </c>
      <c r="N430" s="1" t="s">
        <v>26</v>
      </c>
      <c r="O430" s="1" t="s">
        <v>35</v>
      </c>
    </row>
    <row r="431" spans="1:15" x14ac:dyDescent="0.2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x14ac:dyDescent="0.2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x14ac:dyDescent="0.2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x14ac:dyDescent="0.25">
      <c r="A434" s="1">
        <v>100248</v>
      </c>
      <c r="B434" s="2">
        <v>45237</v>
      </c>
      <c r="C434" s="1" t="s">
        <v>482</v>
      </c>
      <c r="D434" s="1" t="s">
        <v>39</v>
      </c>
      <c r="E434" s="1" t="s">
        <v>25</v>
      </c>
      <c r="F434" s="1" t="s">
        <v>1240</v>
      </c>
      <c r="G434" s="1" t="s">
        <v>31</v>
      </c>
      <c r="H434" s="1">
        <v>2</v>
      </c>
      <c r="I434" s="1">
        <v>200.02</v>
      </c>
      <c r="J434" s="1">
        <v>20</v>
      </c>
      <c r="K434" s="1">
        <v>320.02999999999997</v>
      </c>
      <c r="L434" s="1">
        <v>104.93</v>
      </c>
      <c r="M434" s="1">
        <v>21</v>
      </c>
      <c r="N434" s="1" t="s">
        <v>19</v>
      </c>
      <c r="O434" s="1" t="s">
        <v>46</v>
      </c>
    </row>
    <row r="435" spans="1:15" x14ac:dyDescent="0.25">
      <c r="A435" s="1">
        <v>100307</v>
      </c>
      <c r="B435" s="2">
        <v>45568</v>
      </c>
      <c r="C435" s="1" t="s">
        <v>483</v>
      </c>
      <c r="D435" s="1" t="s">
        <v>29</v>
      </c>
      <c r="E435" s="1" t="s">
        <v>30</v>
      </c>
      <c r="F435" s="1" t="s">
        <v>1254</v>
      </c>
      <c r="G435" s="1" t="s">
        <v>18</v>
      </c>
      <c r="H435" s="1">
        <v>4</v>
      </c>
      <c r="I435" s="1">
        <v>16.940000000000001</v>
      </c>
      <c r="J435" s="1">
        <v>10</v>
      </c>
      <c r="K435" s="1">
        <v>60.98</v>
      </c>
      <c r="L435" s="1">
        <v>24.56</v>
      </c>
      <c r="M435" s="1">
        <v>34</v>
      </c>
      <c r="N435" s="1" t="s">
        <v>26</v>
      </c>
      <c r="O435" s="1" t="s">
        <v>32</v>
      </c>
    </row>
    <row r="436" spans="1:15" x14ac:dyDescent="0.2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x14ac:dyDescent="0.25">
      <c r="A437" s="1">
        <v>100346</v>
      </c>
      <c r="B437" s="2">
        <v>45589</v>
      </c>
      <c r="C437" s="1" t="s">
        <v>485</v>
      </c>
      <c r="D437" s="1" t="s">
        <v>16</v>
      </c>
      <c r="E437" s="1" t="s">
        <v>17</v>
      </c>
      <c r="F437" s="1" t="s">
        <v>1254</v>
      </c>
      <c r="G437" s="1" t="s">
        <v>31</v>
      </c>
      <c r="H437" s="1">
        <v>4</v>
      </c>
      <c r="I437" s="1">
        <v>55.74</v>
      </c>
      <c r="J437" s="1">
        <v>5</v>
      </c>
      <c r="K437" s="1">
        <v>211.81</v>
      </c>
      <c r="L437" s="1">
        <v>64.92</v>
      </c>
      <c r="M437" s="1">
        <v>35</v>
      </c>
      <c r="N437" s="1" t="s">
        <v>26</v>
      </c>
      <c r="O437" s="1" t="s">
        <v>32</v>
      </c>
    </row>
    <row r="438" spans="1:15" x14ac:dyDescent="0.25">
      <c r="A438" s="1">
        <v>100334</v>
      </c>
      <c r="B438" s="2">
        <v>45911</v>
      </c>
      <c r="C438" s="1" t="s">
        <v>486</v>
      </c>
      <c r="D438" s="1" t="s">
        <v>70</v>
      </c>
      <c r="E438" s="1" t="s">
        <v>25</v>
      </c>
      <c r="F438" s="1" t="s">
        <v>1240</v>
      </c>
      <c r="G438" s="1" t="s">
        <v>18</v>
      </c>
      <c r="H438" s="1">
        <v>1</v>
      </c>
      <c r="I438" s="1">
        <v>150.91</v>
      </c>
      <c r="J438" s="1">
        <v>0</v>
      </c>
      <c r="K438" s="1">
        <v>150.91</v>
      </c>
      <c r="L438" s="1">
        <v>33.19</v>
      </c>
      <c r="M438" s="1">
        <v>27</v>
      </c>
      <c r="N438" s="1" t="s">
        <v>26</v>
      </c>
      <c r="O438" s="1" t="s">
        <v>51</v>
      </c>
    </row>
    <row r="439" spans="1:15" x14ac:dyDescent="0.25">
      <c r="A439" s="1">
        <v>100285</v>
      </c>
      <c r="B439" s="2">
        <v>45234</v>
      </c>
      <c r="C439" s="1" t="s">
        <v>487</v>
      </c>
      <c r="D439" s="1" t="s">
        <v>70</v>
      </c>
      <c r="E439" s="1" t="s">
        <v>25</v>
      </c>
      <c r="F439" s="1" t="s">
        <v>1240</v>
      </c>
      <c r="G439" s="1" t="s">
        <v>48</v>
      </c>
      <c r="H439" s="1">
        <v>3</v>
      </c>
      <c r="I439" s="1">
        <v>157.11000000000001</v>
      </c>
      <c r="J439" s="1">
        <v>0</v>
      </c>
      <c r="K439" s="1">
        <v>471.33</v>
      </c>
      <c r="L439" s="1">
        <v>167.7</v>
      </c>
      <c r="M439" s="1">
        <v>24</v>
      </c>
      <c r="N439" s="1" t="s">
        <v>19</v>
      </c>
      <c r="O439" s="1" t="s">
        <v>35</v>
      </c>
    </row>
    <row r="440" spans="1:15" x14ac:dyDescent="0.2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x14ac:dyDescent="0.2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x14ac:dyDescent="0.2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x14ac:dyDescent="0.2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x14ac:dyDescent="0.2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x14ac:dyDescent="0.25">
      <c r="A445" s="1">
        <v>100755</v>
      </c>
      <c r="B445" s="2">
        <v>45441</v>
      </c>
      <c r="C445" s="1" t="s">
        <v>493</v>
      </c>
      <c r="D445" s="1" t="s">
        <v>66</v>
      </c>
      <c r="E445" s="1" t="s">
        <v>17</v>
      </c>
      <c r="F445" s="1" t="s">
        <v>1240</v>
      </c>
      <c r="G445" s="1" t="s">
        <v>64</v>
      </c>
      <c r="H445" s="1">
        <v>3</v>
      </c>
      <c r="I445" s="1">
        <v>140.63</v>
      </c>
      <c r="J445" s="1">
        <v>20</v>
      </c>
      <c r="K445" s="1">
        <v>337.51</v>
      </c>
      <c r="L445" s="1">
        <v>104.97</v>
      </c>
      <c r="M445" s="1">
        <v>28</v>
      </c>
      <c r="N445" s="1" t="s">
        <v>26</v>
      </c>
      <c r="O445" s="1" t="s">
        <v>27</v>
      </c>
    </row>
    <row r="446" spans="1:15" x14ac:dyDescent="0.25">
      <c r="A446" s="1">
        <v>100944</v>
      </c>
      <c r="B446" s="2">
        <v>45311</v>
      </c>
      <c r="C446" s="1" t="s">
        <v>494</v>
      </c>
      <c r="D446" s="1" t="s">
        <v>73</v>
      </c>
      <c r="E446" s="1" t="s">
        <v>25</v>
      </c>
      <c r="F446" s="1" t="s">
        <v>1240</v>
      </c>
      <c r="G446" s="1" t="s">
        <v>31</v>
      </c>
      <c r="H446" s="1">
        <v>3</v>
      </c>
      <c r="I446" s="1">
        <v>37.57</v>
      </c>
      <c r="J446" s="1">
        <v>0</v>
      </c>
      <c r="K446" s="1">
        <v>112.71</v>
      </c>
      <c r="L446" s="1">
        <v>45.41</v>
      </c>
      <c r="M446" s="1">
        <v>28</v>
      </c>
      <c r="N446" s="1" t="s">
        <v>122</v>
      </c>
      <c r="O446" s="1" t="s">
        <v>46</v>
      </c>
    </row>
    <row r="447" spans="1:15" x14ac:dyDescent="0.25">
      <c r="A447" s="1">
        <v>100613</v>
      </c>
      <c r="B447" s="2">
        <v>45445</v>
      </c>
      <c r="C447" s="1" t="s">
        <v>495</v>
      </c>
      <c r="D447" s="1" t="s">
        <v>39</v>
      </c>
      <c r="E447" s="1" t="s">
        <v>25</v>
      </c>
      <c r="F447" s="1" t="s">
        <v>1254</v>
      </c>
      <c r="G447" s="1" t="s">
        <v>18</v>
      </c>
      <c r="H447" s="1">
        <v>1</v>
      </c>
      <c r="I447" s="1">
        <v>169.09</v>
      </c>
      <c r="J447" s="1">
        <v>0</v>
      </c>
      <c r="K447" s="1">
        <v>169.09</v>
      </c>
      <c r="L447" s="1">
        <v>60.62</v>
      </c>
      <c r="M447" s="1">
        <v>31</v>
      </c>
      <c r="N447" s="1" t="s">
        <v>26</v>
      </c>
      <c r="O447" s="1" t="s">
        <v>46</v>
      </c>
    </row>
    <row r="448" spans="1:15" x14ac:dyDescent="0.2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x14ac:dyDescent="0.2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x14ac:dyDescent="0.25">
      <c r="A450" s="1">
        <v>100688</v>
      </c>
      <c r="B450" s="2">
        <v>45809</v>
      </c>
      <c r="C450" s="1" t="s">
        <v>498</v>
      </c>
      <c r="D450" s="1" t="s">
        <v>73</v>
      </c>
      <c r="E450" s="1" t="s">
        <v>25</v>
      </c>
      <c r="F450" s="1" t="s">
        <v>1254</v>
      </c>
      <c r="G450" s="1" t="s">
        <v>18</v>
      </c>
      <c r="H450" s="1">
        <v>3</v>
      </c>
      <c r="I450" s="1">
        <v>32.26</v>
      </c>
      <c r="J450" s="1">
        <v>0</v>
      </c>
      <c r="K450" s="1">
        <v>96.78</v>
      </c>
      <c r="L450" s="1">
        <v>35.840000000000003</v>
      </c>
      <c r="M450" s="1">
        <v>37</v>
      </c>
      <c r="N450" s="1" t="s">
        <v>19</v>
      </c>
      <c r="O450" s="1" t="s">
        <v>51</v>
      </c>
    </row>
    <row r="451" spans="1:15" x14ac:dyDescent="0.2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x14ac:dyDescent="0.25">
      <c r="A452" s="1">
        <v>100793</v>
      </c>
      <c r="B452" s="2">
        <v>45162</v>
      </c>
      <c r="C452" s="1" t="s">
        <v>500</v>
      </c>
      <c r="D452" s="1" t="s">
        <v>42</v>
      </c>
      <c r="E452" s="1" t="s">
        <v>25</v>
      </c>
      <c r="F452" s="1" t="s">
        <v>1240</v>
      </c>
      <c r="G452" s="1" t="s">
        <v>31</v>
      </c>
      <c r="H452" s="1">
        <v>2</v>
      </c>
      <c r="I452" s="1">
        <v>166.46</v>
      </c>
      <c r="J452" s="1">
        <v>10</v>
      </c>
      <c r="K452" s="1">
        <v>299.63</v>
      </c>
      <c r="L452" s="1">
        <v>111.39</v>
      </c>
      <c r="M452" s="1">
        <v>27</v>
      </c>
      <c r="N452" s="1" t="s">
        <v>26</v>
      </c>
      <c r="O452" s="1" t="s">
        <v>46</v>
      </c>
    </row>
    <row r="453" spans="1:15" x14ac:dyDescent="0.2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x14ac:dyDescent="0.2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x14ac:dyDescent="0.2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x14ac:dyDescent="0.25">
      <c r="A456" s="1">
        <v>101098</v>
      </c>
      <c r="B456" s="2">
        <v>45392</v>
      </c>
      <c r="C456" s="1" t="s">
        <v>504</v>
      </c>
      <c r="D456" s="1" t="s">
        <v>70</v>
      </c>
      <c r="E456" s="1" t="s">
        <v>25</v>
      </c>
      <c r="F456" s="1" t="s">
        <v>1239</v>
      </c>
      <c r="G456" s="1" t="s">
        <v>18</v>
      </c>
      <c r="H456" s="1">
        <v>3</v>
      </c>
      <c r="I456" s="1">
        <v>146.38999999999999</v>
      </c>
      <c r="J456" s="1">
        <v>0</v>
      </c>
      <c r="K456" s="1">
        <v>439.17</v>
      </c>
      <c r="L456" s="1">
        <v>117.89</v>
      </c>
      <c r="M456" s="1">
        <v>18</v>
      </c>
      <c r="N456" s="1" t="s">
        <v>26</v>
      </c>
      <c r="O456" s="1" t="s">
        <v>81</v>
      </c>
    </row>
    <row r="457" spans="1:15" x14ac:dyDescent="0.2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x14ac:dyDescent="0.25">
      <c r="A458" s="1">
        <v>100254</v>
      </c>
      <c r="B458" s="2">
        <v>45463</v>
      </c>
      <c r="C458" s="1" t="s">
        <v>506</v>
      </c>
      <c r="D458" s="1" t="s">
        <v>70</v>
      </c>
      <c r="E458" s="1" t="s">
        <v>25</v>
      </c>
      <c r="F458" s="1" t="s">
        <v>1240</v>
      </c>
      <c r="G458" s="1" t="s">
        <v>48</v>
      </c>
      <c r="H458" s="1">
        <v>5</v>
      </c>
      <c r="I458" s="1">
        <v>145.34</v>
      </c>
      <c r="J458" s="1">
        <v>0</v>
      </c>
      <c r="K458" s="1">
        <v>726.7</v>
      </c>
      <c r="L458" s="1">
        <v>224.2</v>
      </c>
      <c r="M458" s="1">
        <v>33</v>
      </c>
      <c r="N458" s="1" t="s">
        <v>26</v>
      </c>
      <c r="O458" s="1" t="s">
        <v>81</v>
      </c>
    </row>
    <row r="459" spans="1:15" x14ac:dyDescent="0.2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x14ac:dyDescent="0.25">
      <c r="A460" s="1">
        <v>101023</v>
      </c>
      <c r="B460" s="2">
        <v>45884</v>
      </c>
      <c r="C460" s="1" t="s">
        <v>508</v>
      </c>
      <c r="D460" s="1" t="s">
        <v>29</v>
      </c>
      <c r="E460" s="1" t="s">
        <v>30</v>
      </c>
      <c r="F460" s="1" t="s">
        <v>1254</v>
      </c>
      <c r="G460" s="1" t="s">
        <v>18</v>
      </c>
      <c r="H460" s="1">
        <v>4</v>
      </c>
      <c r="I460" s="1">
        <v>17.71</v>
      </c>
      <c r="J460" s="1">
        <v>0</v>
      </c>
      <c r="K460" s="1">
        <v>70.84</v>
      </c>
      <c r="L460" s="1">
        <v>13.62</v>
      </c>
      <c r="M460" s="1">
        <v>29</v>
      </c>
      <c r="N460" s="1" t="s">
        <v>26</v>
      </c>
      <c r="O460" s="1" t="s">
        <v>46</v>
      </c>
    </row>
    <row r="461" spans="1:15" x14ac:dyDescent="0.25">
      <c r="A461" s="1">
        <v>100312</v>
      </c>
      <c r="B461" s="2">
        <v>45032</v>
      </c>
      <c r="C461" s="1" t="s">
        <v>509</v>
      </c>
      <c r="D461" s="1" t="s">
        <v>66</v>
      </c>
      <c r="E461" s="1" t="s">
        <v>17</v>
      </c>
      <c r="F461" s="1" t="s">
        <v>1240</v>
      </c>
      <c r="G461" s="1" t="s">
        <v>18</v>
      </c>
      <c r="H461" s="1">
        <v>6</v>
      </c>
      <c r="I461" s="1">
        <v>120.23</v>
      </c>
      <c r="J461" s="1">
        <v>5</v>
      </c>
      <c r="K461" s="1">
        <v>685.31</v>
      </c>
      <c r="L461" s="1">
        <v>249.96</v>
      </c>
      <c r="M461" s="1">
        <v>28</v>
      </c>
      <c r="N461" s="1" t="s">
        <v>19</v>
      </c>
      <c r="O461" s="1" t="s">
        <v>35</v>
      </c>
    </row>
    <row r="462" spans="1:15" x14ac:dyDescent="0.25">
      <c r="A462" s="1">
        <v>100529</v>
      </c>
      <c r="B462" s="2">
        <v>45119</v>
      </c>
      <c r="C462" s="1" t="s">
        <v>510</v>
      </c>
      <c r="D462" s="1" t="s">
        <v>66</v>
      </c>
      <c r="E462" s="1" t="s">
        <v>17</v>
      </c>
      <c r="F462" s="1" t="s">
        <v>1240</v>
      </c>
      <c r="G462" s="1" t="s">
        <v>31</v>
      </c>
      <c r="H462" s="1">
        <v>2</v>
      </c>
      <c r="I462" s="1">
        <v>101.14</v>
      </c>
      <c r="J462" s="1">
        <v>10</v>
      </c>
      <c r="K462" s="1">
        <v>182.05</v>
      </c>
      <c r="L462" s="1">
        <v>53.84</v>
      </c>
      <c r="M462" s="1">
        <v>19</v>
      </c>
      <c r="N462" s="1" t="s">
        <v>26</v>
      </c>
      <c r="O462" s="1" t="s">
        <v>27</v>
      </c>
    </row>
    <row r="463" spans="1:15" x14ac:dyDescent="0.25">
      <c r="A463" s="1">
        <v>100221</v>
      </c>
      <c r="B463" s="2">
        <v>45886</v>
      </c>
      <c r="C463" s="1" t="s">
        <v>511</v>
      </c>
      <c r="D463" s="1" t="s">
        <v>16</v>
      </c>
      <c r="E463" s="1" t="s">
        <v>17</v>
      </c>
      <c r="F463" s="1" t="s">
        <v>1240</v>
      </c>
      <c r="G463" s="1" t="s">
        <v>31</v>
      </c>
      <c r="H463" s="1">
        <v>7</v>
      </c>
      <c r="I463" s="1">
        <v>46.97</v>
      </c>
      <c r="J463" s="1">
        <v>0</v>
      </c>
      <c r="K463" s="1">
        <v>328.79</v>
      </c>
      <c r="L463" s="1">
        <v>107.03</v>
      </c>
      <c r="M463" s="1">
        <v>32</v>
      </c>
      <c r="N463" s="1" t="s">
        <v>26</v>
      </c>
      <c r="O463" s="1" t="s">
        <v>43</v>
      </c>
    </row>
    <row r="464" spans="1:15" x14ac:dyDescent="0.25">
      <c r="A464" s="1">
        <v>100388</v>
      </c>
      <c r="B464" s="2">
        <v>45589</v>
      </c>
      <c r="C464" s="1" t="s">
        <v>512</v>
      </c>
      <c r="D464" s="1" t="s">
        <v>42</v>
      </c>
      <c r="E464" s="1" t="s">
        <v>25</v>
      </c>
      <c r="F464" s="1" t="s">
        <v>1240</v>
      </c>
      <c r="G464" s="1" t="s">
        <v>18</v>
      </c>
      <c r="H464" s="1">
        <v>2</v>
      </c>
      <c r="I464" s="1">
        <v>180.08</v>
      </c>
      <c r="J464" s="1">
        <v>0</v>
      </c>
      <c r="K464" s="1">
        <v>360.16</v>
      </c>
      <c r="L464" s="1">
        <v>84.13</v>
      </c>
      <c r="M464" s="1">
        <v>34</v>
      </c>
      <c r="N464" s="1" t="s">
        <v>19</v>
      </c>
      <c r="O464" s="1" t="s">
        <v>20</v>
      </c>
    </row>
    <row r="465" spans="1:15" x14ac:dyDescent="0.25">
      <c r="A465" s="1">
        <v>100235</v>
      </c>
      <c r="B465" s="2">
        <v>45839</v>
      </c>
      <c r="C465" s="1" t="s">
        <v>513</v>
      </c>
      <c r="D465" s="1" t="s">
        <v>62</v>
      </c>
      <c r="E465" s="1" t="s">
        <v>17</v>
      </c>
      <c r="F465" s="1" t="s">
        <v>1254</v>
      </c>
      <c r="G465" s="1" t="s">
        <v>18</v>
      </c>
      <c r="H465" s="1">
        <v>4</v>
      </c>
      <c r="I465" s="1">
        <v>118.57</v>
      </c>
      <c r="J465" s="1">
        <v>5</v>
      </c>
      <c r="K465" s="1">
        <v>450.57</v>
      </c>
      <c r="L465" s="1">
        <v>134.34</v>
      </c>
      <c r="M465" s="1">
        <v>25</v>
      </c>
      <c r="N465" s="1" t="s">
        <v>26</v>
      </c>
      <c r="O465" s="1" t="s">
        <v>35</v>
      </c>
    </row>
    <row r="466" spans="1:15" x14ac:dyDescent="0.25">
      <c r="A466" s="1">
        <v>100809</v>
      </c>
      <c r="B466" s="2">
        <v>45702</v>
      </c>
      <c r="C466" s="1" t="s">
        <v>514</v>
      </c>
      <c r="D466" s="1" t="s">
        <v>29</v>
      </c>
      <c r="E466" s="1" t="s">
        <v>30</v>
      </c>
      <c r="F466" s="1" t="s">
        <v>1240</v>
      </c>
      <c r="G466" s="1" t="s">
        <v>64</v>
      </c>
      <c r="H466" s="1">
        <v>1</v>
      </c>
      <c r="I466" s="1">
        <v>17.52</v>
      </c>
      <c r="J466" s="1">
        <v>0</v>
      </c>
      <c r="K466" s="1">
        <v>17.52</v>
      </c>
      <c r="L466" s="1">
        <v>3.67</v>
      </c>
      <c r="M466" s="1">
        <v>22</v>
      </c>
      <c r="N466" s="1" t="s">
        <v>19</v>
      </c>
      <c r="O466" s="1" t="s">
        <v>35</v>
      </c>
    </row>
    <row r="467" spans="1:15" x14ac:dyDescent="0.2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x14ac:dyDescent="0.2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x14ac:dyDescent="0.25">
      <c r="A469" s="1">
        <v>100305</v>
      </c>
      <c r="B469" s="2">
        <v>45741</v>
      </c>
      <c r="C469" s="1" t="s">
        <v>517</v>
      </c>
      <c r="D469" s="1" t="s">
        <v>45</v>
      </c>
      <c r="E469" s="1" t="s">
        <v>30</v>
      </c>
      <c r="F469" s="1" t="s">
        <v>1239</v>
      </c>
      <c r="G469" s="1" t="s">
        <v>48</v>
      </c>
      <c r="H469" s="1">
        <v>3</v>
      </c>
      <c r="I469" s="1">
        <v>13.86</v>
      </c>
      <c r="J469" s="1">
        <v>5</v>
      </c>
      <c r="K469" s="1">
        <v>39.5</v>
      </c>
      <c r="L469" s="1">
        <v>12.04</v>
      </c>
      <c r="M469" s="1">
        <v>34</v>
      </c>
      <c r="N469" s="1" t="s">
        <v>26</v>
      </c>
      <c r="O469" s="1" t="s">
        <v>43</v>
      </c>
    </row>
    <row r="470" spans="1:15" x14ac:dyDescent="0.25">
      <c r="A470" s="1">
        <v>101110</v>
      </c>
      <c r="B470" s="2">
        <v>45016</v>
      </c>
      <c r="C470" s="1" t="s">
        <v>518</v>
      </c>
      <c r="D470" s="1" t="s">
        <v>87</v>
      </c>
      <c r="E470" s="1" t="s">
        <v>25</v>
      </c>
      <c r="F470" s="1" t="s">
        <v>1240</v>
      </c>
      <c r="G470" s="1" t="s">
        <v>64</v>
      </c>
      <c r="H470" s="1">
        <v>1</v>
      </c>
      <c r="I470" s="1">
        <v>93.52</v>
      </c>
      <c r="J470" s="1">
        <v>10</v>
      </c>
      <c r="K470" s="1">
        <v>84.17</v>
      </c>
      <c r="L470" s="1">
        <v>25.93</v>
      </c>
      <c r="M470" s="1">
        <v>31</v>
      </c>
      <c r="N470" s="1" t="s">
        <v>26</v>
      </c>
      <c r="O470" s="1" t="s">
        <v>27</v>
      </c>
    </row>
    <row r="471" spans="1:15" x14ac:dyDescent="0.25">
      <c r="A471" s="1">
        <v>101089</v>
      </c>
      <c r="B471" s="2">
        <v>45552</v>
      </c>
      <c r="C471" s="1" t="s">
        <v>519</v>
      </c>
      <c r="D471" s="1" t="s">
        <v>100</v>
      </c>
      <c r="E471" s="1" t="s">
        <v>25</v>
      </c>
      <c r="F471" s="1" t="s">
        <v>1240</v>
      </c>
      <c r="G471" s="1" t="s">
        <v>31</v>
      </c>
      <c r="H471" s="1">
        <v>1</v>
      </c>
      <c r="I471" s="1">
        <v>132.69999999999999</v>
      </c>
      <c r="J471" s="1">
        <v>10</v>
      </c>
      <c r="K471" s="1">
        <v>119.43</v>
      </c>
      <c r="L471" s="1">
        <v>21.29</v>
      </c>
      <c r="M471" s="1">
        <v>35</v>
      </c>
      <c r="N471" s="1" t="s">
        <v>26</v>
      </c>
      <c r="O471" s="1" t="s">
        <v>81</v>
      </c>
    </row>
    <row r="472" spans="1:15" x14ac:dyDescent="0.25">
      <c r="A472" s="1">
        <v>100771</v>
      </c>
      <c r="B472" s="2">
        <v>45492</v>
      </c>
      <c r="C472" s="1" t="s">
        <v>520</v>
      </c>
      <c r="D472" s="1" t="s">
        <v>62</v>
      </c>
      <c r="E472" s="1" t="s">
        <v>17</v>
      </c>
      <c r="F472" s="1" t="s">
        <v>1239</v>
      </c>
      <c r="G472" s="1" t="s">
        <v>18</v>
      </c>
      <c r="H472" s="1">
        <v>1</v>
      </c>
      <c r="I472" s="1">
        <v>121.17</v>
      </c>
      <c r="J472" s="1">
        <v>5</v>
      </c>
      <c r="K472" s="1">
        <v>115.11</v>
      </c>
      <c r="L472" s="1">
        <v>38.85</v>
      </c>
      <c r="M472" s="1">
        <v>31</v>
      </c>
      <c r="N472" s="1" t="s">
        <v>19</v>
      </c>
      <c r="O472" s="1" t="s">
        <v>27</v>
      </c>
    </row>
    <row r="473" spans="1:15" x14ac:dyDescent="0.25">
      <c r="A473" s="1">
        <v>100916</v>
      </c>
      <c r="B473" s="2">
        <v>45508</v>
      </c>
      <c r="C473" s="1" t="s">
        <v>521</v>
      </c>
      <c r="D473" s="1" t="s">
        <v>70</v>
      </c>
      <c r="E473" s="1" t="s">
        <v>25</v>
      </c>
      <c r="F473" s="1" t="s">
        <v>1240</v>
      </c>
      <c r="G473" s="1" t="s">
        <v>64</v>
      </c>
      <c r="H473" s="1">
        <v>1</v>
      </c>
      <c r="I473" s="1">
        <v>152.72999999999999</v>
      </c>
      <c r="J473" s="1">
        <v>0</v>
      </c>
      <c r="K473" s="1">
        <v>152.72999999999999</v>
      </c>
      <c r="L473" s="1">
        <v>50.68</v>
      </c>
      <c r="M473" s="1">
        <v>21</v>
      </c>
      <c r="N473" s="1" t="s">
        <v>26</v>
      </c>
      <c r="O473" s="1" t="s">
        <v>32</v>
      </c>
    </row>
    <row r="474" spans="1:15" x14ac:dyDescent="0.25">
      <c r="A474" s="1">
        <v>101138</v>
      </c>
      <c r="B474" s="2">
        <v>45586</v>
      </c>
      <c r="C474" s="1" t="s">
        <v>522</v>
      </c>
      <c r="D474" s="1" t="s">
        <v>77</v>
      </c>
      <c r="E474" s="1" t="s">
        <v>30</v>
      </c>
      <c r="F474" s="1" t="s">
        <v>1254</v>
      </c>
      <c r="G474" s="1" t="s">
        <v>18</v>
      </c>
      <c r="H474" s="1">
        <v>1</v>
      </c>
      <c r="I474" s="1">
        <v>35.72</v>
      </c>
      <c r="J474" s="1">
        <v>0</v>
      </c>
      <c r="K474" s="1">
        <v>35.72</v>
      </c>
      <c r="L474" s="1">
        <v>15.13</v>
      </c>
      <c r="M474" s="1">
        <v>30</v>
      </c>
      <c r="N474" s="1" t="s">
        <v>19</v>
      </c>
      <c r="O474" s="1" t="s">
        <v>32</v>
      </c>
    </row>
    <row r="475" spans="1:15" x14ac:dyDescent="0.2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x14ac:dyDescent="0.25">
      <c r="A476" s="1">
        <v>100759</v>
      </c>
      <c r="B476" s="2">
        <v>45517</v>
      </c>
      <c r="C476" s="1" t="s">
        <v>524</v>
      </c>
      <c r="D476" s="1" t="s">
        <v>53</v>
      </c>
      <c r="E476" s="1" t="s">
        <v>30</v>
      </c>
      <c r="F476" s="1" t="s">
        <v>1239</v>
      </c>
      <c r="G476" s="1" t="s">
        <v>31</v>
      </c>
      <c r="H476" s="1">
        <v>5</v>
      </c>
      <c r="I476" s="1">
        <v>22.79</v>
      </c>
      <c r="J476" s="1">
        <v>20</v>
      </c>
      <c r="K476" s="1">
        <v>91.16</v>
      </c>
      <c r="L476" s="1">
        <v>27.55</v>
      </c>
      <c r="M476" s="1">
        <v>23</v>
      </c>
      <c r="N476" s="1" t="s">
        <v>26</v>
      </c>
      <c r="O476" s="1" t="s">
        <v>32</v>
      </c>
    </row>
    <row r="477" spans="1:15" x14ac:dyDescent="0.25">
      <c r="A477" s="1">
        <v>100594</v>
      </c>
      <c r="B477" s="2">
        <v>44930</v>
      </c>
      <c r="C477" s="1" t="s">
        <v>525</v>
      </c>
      <c r="D477" s="1" t="s">
        <v>100</v>
      </c>
      <c r="E477" s="1" t="s">
        <v>25</v>
      </c>
      <c r="F477" s="1" t="s">
        <v>1240</v>
      </c>
      <c r="G477" s="1" t="s">
        <v>31</v>
      </c>
      <c r="H477" s="1">
        <v>2</v>
      </c>
      <c r="I477" s="1">
        <v>119.58</v>
      </c>
      <c r="J477" s="1">
        <v>0</v>
      </c>
      <c r="K477" s="1">
        <v>239.16</v>
      </c>
      <c r="L477" s="1">
        <v>62.75</v>
      </c>
      <c r="M477" s="1">
        <v>37</v>
      </c>
      <c r="N477" s="1" t="s">
        <v>26</v>
      </c>
      <c r="O477" s="1" t="s">
        <v>81</v>
      </c>
    </row>
    <row r="478" spans="1:15" x14ac:dyDescent="0.2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x14ac:dyDescent="0.25">
      <c r="A479" s="1">
        <v>100094</v>
      </c>
      <c r="B479" s="2">
        <v>45352</v>
      </c>
      <c r="C479" s="1" t="s">
        <v>527</v>
      </c>
      <c r="D479" s="1" t="s">
        <v>53</v>
      </c>
      <c r="E479" s="1" t="s">
        <v>30</v>
      </c>
      <c r="F479" s="1" t="s">
        <v>1240</v>
      </c>
      <c r="G479" s="1" t="s">
        <v>31</v>
      </c>
      <c r="H479" s="1">
        <v>2</v>
      </c>
      <c r="I479" s="1">
        <v>20.13</v>
      </c>
      <c r="J479" s="1">
        <v>0</v>
      </c>
      <c r="K479" s="1">
        <v>40.26</v>
      </c>
      <c r="L479" s="1">
        <v>11.44</v>
      </c>
      <c r="M479" s="1">
        <v>31</v>
      </c>
      <c r="N479" s="1" t="s">
        <v>26</v>
      </c>
      <c r="O479" s="1" t="s">
        <v>35</v>
      </c>
    </row>
    <row r="480" spans="1:15" x14ac:dyDescent="0.25">
      <c r="A480" s="1">
        <v>100545</v>
      </c>
      <c r="B480" s="2">
        <v>44971</v>
      </c>
      <c r="C480" s="1" t="s">
        <v>528</v>
      </c>
      <c r="D480" s="1" t="s">
        <v>68</v>
      </c>
      <c r="E480" s="1" t="s">
        <v>25</v>
      </c>
      <c r="F480" s="1" t="s">
        <v>1240</v>
      </c>
      <c r="G480" s="1" t="s">
        <v>18</v>
      </c>
      <c r="H480" s="1">
        <v>2</v>
      </c>
      <c r="I480" s="1">
        <v>222.43</v>
      </c>
      <c r="J480" s="1">
        <v>20</v>
      </c>
      <c r="K480" s="1">
        <v>355.89</v>
      </c>
      <c r="L480" s="1">
        <v>115.76</v>
      </c>
      <c r="M480" s="1">
        <v>31</v>
      </c>
      <c r="N480" s="1" t="s">
        <v>26</v>
      </c>
      <c r="O480" s="1" t="s">
        <v>81</v>
      </c>
    </row>
    <row r="481" spans="1:15" x14ac:dyDescent="0.25">
      <c r="A481" s="1">
        <v>100033</v>
      </c>
      <c r="B481" s="2">
        <v>45888</v>
      </c>
      <c r="C481" s="1" t="s">
        <v>529</v>
      </c>
      <c r="D481" s="1" t="s">
        <v>68</v>
      </c>
      <c r="E481" s="1" t="s">
        <v>25</v>
      </c>
      <c r="F481" s="1" t="s">
        <v>1254</v>
      </c>
      <c r="G481" s="1" t="s">
        <v>31</v>
      </c>
      <c r="H481" s="1">
        <v>2</v>
      </c>
      <c r="I481" s="1">
        <v>204.91</v>
      </c>
      <c r="J481" s="1">
        <v>40</v>
      </c>
      <c r="K481" s="1">
        <v>245.89</v>
      </c>
      <c r="L481" s="1">
        <v>60.6</v>
      </c>
      <c r="M481" s="1">
        <v>33</v>
      </c>
      <c r="N481" s="1" t="s">
        <v>26</v>
      </c>
      <c r="O481" s="1" t="s">
        <v>20</v>
      </c>
    </row>
    <row r="482" spans="1:15" x14ac:dyDescent="0.25">
      <c r="A482" s="1">
        <v>100861</v>
      </c>
      <c r="B482" s="2">
        <v>45252</v>
      </c>
      <c r="C482" s="1" t="s">
        <v>530</v>
      </c>
      <c r="D482" s="1" t="s">
        <v>29</v>
      </c>
      <c r="E482" s="1" t="s">
        <v>30</v>
      </c>
      <c r="F482" s="1" t="s">
        <v>1240</v>
      </c>
      <c r="G482" s="1" t="s">
        <v>18</v>
      </c>
      <c r="H482" s="1">
        <v>1</v>
      </c>
      <c r="I482" s="1">
        <v>16.010000000000002</v>
      </c>
      <c r="J482" s="1">
        <v>0</v>
      </c>
      <c r="K482" s="1">
        <v>16.010000000000002</v>
      </c>
      <c r="L482" s="1">
        <v>5.89</v>
      </c>
      <c r="M482" s="1">
        <v>16</v>
      </c>
      <c r="N482" s="1" t="s">
        <v>19</v>
      </c>
      <c r="O482" s="1" t="s">
        <v>81</v>
      </c>
    </row>
    <row r="483" spans="1:15" x14ac:dyDescent="0.25">
      <c r="A483" s="1">
        <v>100578</v>
      </c>
      <c r="B483" s="2">
        <v>45521</v>
      </c>
      <c r="C483" s="1" t="s">
        <v>531</v>
      </c>
      <c r="D483" s="1" t="s">
        <v>45</v>
      </c>
      <c r="E483" s="1" t="s">
        <v>30</v>
      </c>
      <c r="F483" s="1" t="s">
        <v>1240</v>
      </c>
      <c r="G483" s="1" t="s">
        <v>18</v>
      </c>
      <c r="H483" s="1">
        <v>2</v>
      </c>
      <c r="I483" s="1">
        <v>16.98</v>
      </c>
      <c r="J483" s="1">
        <v>0</v>
      </c>
      <c r="K483" s="1">
        <v>33.96</v>
      </c>
      <c r="L483" s="1">
        <v>13.75</v>
      </c>
      <c r="M483" s="1">
        <v>19</v>
      </c>
      <c r="N483" s="1" t="s">
        <v>19</v>
      </c>
      <c r="O483" s="1" t="s">
        <v>35</v>
      </c>
    </row>
    <row r="484" spans="1:15" x14ac:dyDescent="0.2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x14ac:dyDescent="0.25">
      <c r="A485" s="1">
        <v>100445</v>
      </c>
      <c r="B485" s="2">
        <v>45001</v>
      </c>
      <c r="C485" s="1" t="s">
        <v>533</v>
      </c>
      <c r="D485" s="1" t="s">
        <v>66</v>
      </c>
      <c r="E485" s="1" t="s">
        <v>17</v>
      </c>
      <c r="F485" s="1" t="s">
        <v>1239</v>
      </c>
      <c r="G485" s="1" t="s">
        <v>31</v>
      </c>
      <c r="H485" s="1">
        <v>4</v>
      </c>
      <c r="I485" s="1">
        <v>118.53</v>
      </c>
      <c r="J485" s="1">
        <v>0</v>
      </c>
      <c r="K485" s="1">
        <v>474.12</v>
      </c>
      <c r="L485" s="1">
        <v>176</v>
      </c>
      <c r="M485" s="1">
        <v>26</v>
      </c>
      <c r="N485" s="1" t="s">
        <v>19</v>
      </c>
      <c r="O485" s="1" t="s">
        <v>35</v>
      </c>
    </row>
    <row r="486" spans="1:15" x14ac:dyDescent="0.2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x14ac:dyDescent="0.2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x14ac:dyDescent="0.2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x14ac:dyDescent="0.25">
      <c r="A489" s="1">
        <v>100823</v>
      </c>
      <c r="B489" s="2">
        <v>45237</v>
      </c>
      <c r="C489" s="1" t="s">
        <v>537</v>
      </c>
      <c r="D489" s="1" t="s">
        <v>37</v>
      </c>
      <c r="E489" s="1" t="s">
        <v>17</v>
      </c>
      <c r="F489" s="1" t="s">
        <v>1240</v>
      </c>
      <c r="G489" s="1" t="s">
        <v>18</v>
      </c>
      <c r="H489" s="1">
        <v>4</v>
      </c>
      <c r="I489" s="1">
        <v>75.3</v>
      </c>
      <c r="J489" s="1">
        <v>20</v>
      </c>
      <c r="K489" s="1">
        <v>240.96</v>
      </c>
      <c r="L489" s="1">
        <v>72.11</v>
      </c>
      <c r="M489" s="1">
        <v>28</v>
      </c>
      <c r="N489" s="1" t="s">
        <v>19</v>
      </c>
      <c r="O489" s="1" t="s">
        <v>43</v>
      </c>
    </row>
    <row r="490" spans="1:15" x14ac:dyDescent="0.2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x14ac:dyDescent="0.25">
      <c r="A491" s="1">
        <v>100365</v>
      </c>
      <c r="B491" s="2">
        <v>44981</v>
      </c>
      <c r="C491" s="1" t="s">
        <v>539</v>
      </c>
      <c r="D491" s="1" t="s">
        <v>87</v>
      </c>
      <c r="E491" s="1" t="s">
        <v>25</v>
      </c>
      <c r="F491" s="1" t="s">
        <v>1239</v>
      </c>
      <c r="G491" s="1" t="s">
        <v>18</v>
      </c>
      <c r="H491" s="1">
        <v>5</v>
      </c>
      <c r="I491" s="1">
        <v>74.78</v>
      </c>
      <c r="J491" s="1">
        <v>5</v>
      </c>
      <c r="K491" s="1">
        <v>355.2</v>
      </c>
      <c r="L491" s="1">
        <v>100.14</v>
      </c>
      <c r="M491" s="1">
        <v>32</v>
      </c>
      <c r="N491" s="1" t="s">
        <v>19</v>
      </c>
      <c r="O491" s="1" t="s">
        <v>20</v>
      </c>
    </row>
    <row r="492" spans="1:15" x14ac:dyDescent="0.2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x14ac:dyDescent="0.2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x14ac:dyDescent="0.2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x14ac:dyDescent="0.2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x14ac:dyDescent="0.25">
      <c r="A496" s="1">
        <v>100082</v>
      </c>
      <c r="B496" s="2">
        <v>44960</v>
      </c>
      <c r="C496" s="1" t="s">
        <v>544</v>
      </c>
      <c r="D496" s="1" t="s">
        <v>37</v>
      </c>
      <c r="E496" s="1" t="s">
        <v>17</v>
      </c>
      <c r="F496" s="1" t="s">
        <v>1240</v>
      </c>
      <c r="G496" s="1" t="s">
        <v>48</v>
      </c>
      <c r="H496" s="1">
        <v>4</v>
      </c>
      <c r="I496" s="1">
        <v>74.959999999999994</v>
      </c>
      <c r="J496" s="1">
        <v>5</v>
      </c>
      <c r="K496" s="1">
        <v>284.85000000000002</v>
      </c>
      <c r="L496" s="1">
        <v>77.42</v>
      </c>
      <c r="M496" s="1">
        <v>37</v>
      </c>
      <c r="N496" s="1" t="s">
        <v>26</v>
      </c>
      <c r="O496" s="1" t="s">
        <v>51</v>
      </c>
    </row>
    <row r="497" spans="1:15" x14ac:dyDescent="0.2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x14ac:dyDescent="0.25">
      <c r="A498" s="1">
        <v>101137</v>
      </c>
      <c r="B498" s="2">
        <v>45358</v>
      </c>
      <c r="C498" s="1" t="s">
        <v>105</v>
      </c>
      <c r="D498" s="1" t="s">
        <v>87</v>
      </c>
      <c r="E498" s="1" t="s">
        <v>25</v>
      </c>
      <c r="F498" s="1" t="s">
        <v>1240</v>
      </c>
      <c r="G498" s="1" t="s">
        <v>18</v>
      </c>
      <c r="H498" s="1">
        <v>5</v>
      </c>
      <c r="I498" s="1">
        <v>88.63</v>
      </c>
      <c r="J498" s="1">
        <v>10</v>
      </c>
      <c r="K498" s="1">
        <v>398.83</v>
      </c>
      <c r="L498" s="1">
        <v>94.16</v>
      </c>
      <c r="M498" s="1">
        <v>22</v>
      </c>
      <c r="N498" s="1" t="s">
        <v>26</v>
      </c>
      <c r="O498" s="1" t="s">
        <v>81</v>
      </c>
    </row>
    <row r="499" spans="1:15" x14ac:dyDescent="0.25">
      <c r="A499" s="1">
        <v>100614</v>
      </c>
      <c r="B499" s="2">
        <v>45721</v>
      </c>
      <c r="C499" s="1" t="s">
        <v>546</v>
      </c>
      <c r="D499" s="1" t="s">
        <v>66</v>
      </c>
      <c r="E499" s="1" t="s">
        <v>17</v>
      </c>
      <c r="F499" s="1" t="s">
        <v>1254</v>
      </c>
      <c r="G499" s="1" t="s">
        <v>48</v>
      </c>
      <c r="H499" s="1">
        <v>2</v>
      </c>
      <c r="I499" s="1">
        <v>120.76</v>
      </c>
      <c r="J499" s="1">
        <v>10</v>
      </c>
      <c r="K499" s="1">
        <v>217.37</v>
      </c>
      <c r="L499" s="1">
        <v>68.09</v>
      </c>
      <c r="M499" s="1">
        <v>16</v>
      </c>
      <c r="N499" s="1" t="s">
        <v>19</v>
      </c>
      <c r="O499" s="1" t="s">
        <v>35</v>
      </c>
    </row>
    <row r="500" spans="1:15" x14ac:dyDescent="0.25">
      <c r="A500" s="1">
        <v>101185</v>
      </c>
      <c r="B500" s="2">
        <v>45768</v>
      </c>
      <c r="C500" s="1" t="s">
        <v>547</v>
      </c>
      <c r="D500" s="1" t="s">
        <v>100</v>
      </c>
      <c r="E500" s="1" t="s">
        <v>25</v>
      </c>
      <c r="F500" s="1" t="s">
        <v>1254</v>
      </c>
      <c r="G500" s="1" t="s">
        <v>31</v>
      </c>
      <c r="H500" s="1">
        <v>3</v>
      </c>
      <c r="I500" s="1">
        <v>142.61000000000001</v>
      </c>
      <c r="J500" s="1">
        <v>0</v>
      </c>
      <c r="K500" s="1">
        <v>427.83</v>
      </c>
      <c r="L500" s="1">
        <v>125.1</v>
      </c>
      <c r="M500" s="1">
        <v>42</v>
      </c>
      <c r="N500" s="1" t="s">
        <v>26</v>
      </c>
      <c r="O500" s="1" t="s">
        <v>81</v>
      </c>
    </row>
    <row r="501" spans="1:15" x14ac:dyDescent="0.2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x14ac:dyDescent="0.2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x14ac:dyDescent="0.2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x14ac:dyDescent="0.25">
      <c r="A504" s="1">
        <v>100554</v>
      </c>
      <c r="B504" s="2">
        <v>45218</v>
      </c>
      <c r="C504" s="1" t="s">
        <v>551</v>
      </c>
      <c r="D504" s="1" t="s">
        <v>100</v>
      </c>
      <c r="E504" s="1" t="s">
        <v>25</v>
      </c>
      <c r="F504" s="1" t="s">
        <v>1240</v>
      </c>
      <c r="G504" s="1" t="s">
        <v>48</v>
      </c>
      <c r="H504" s="1">
        <v>3</v>
      </c>
      <c r="I504" s="1">
        <v>111.07</v>
      </c>
      <c r="J504" s="1">
        <v>10</v>
      </c>
      <c r="K504" s="1">
        <v>299.89</v>
      </c>
      <c r="L504" s="1">
        <v>94.02</v>
      </c>
      <c r="M504" s="1">
        <v>20</v>
      </c>
      <c r="N504" s="1" t="s">
        <v>26</v>
      </c>
      <c r="O504" s="1" t="s">
        <v>51</v>
      </c>
    </row>
    <row r="505" spans="1:15" x14ac:dyDescent="0.2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x14ac:dyDescent="0.2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x14ac:dyDescent="0.2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x14ac:dyDescent="0.2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x14ac:dyDescent="0.25">
      <c r="A509" s="1">
        <v>100464</v>
      </c>
      <c r="B509" s="2">
        <v>45788</v>
      </c>
      <c r="C509" s="1" t="s">
        <v>556</v>
      </c>
      <c r="D509" s="1" t="s">
        <v>22</v>
      </c>
      <c r="E509" s="1" t="s">
        <v>17</v>
      </c>
      <c r="F509" s="1" t="s">
        <v>1240</v>
      </c>
      <c r="G509" s="1" t="s">
        <v>31</v>
      </c>
      <c r="H509" s="1">
        <v>3</v>
      </c>
      <c r="I509" s="1">
        <v>27.21</v>
      </c>
      <c r="J509" s="1">
        <v>0</v>
      </c>
      <c r="K509" s="1">
        <v>81.63</v>
      </c>
      <c r="L509" s="1">
        <v>26</v>
      </c>
      <c r="M509" s="1">
        <v>25</v>
      </c>
      <c r="N509" s="1" t="s">
        <v>26</v>
      </c>
      <c r="O509" s="1" t="s">
        <v>27</v>
      </c>
    </row>
    <row r="510" spans="1:15" x14ac:dyDescent="0.25">
      <c r="A510" s="1">
        <v>100588</v>
      </c>
      <c r="B510" s="2">
        <v>45359</v>
      </c>
      <c r="C510" s="1" t="s">
        <v>557</v>
      </c>
      <c r="D510" s="1" t="s">
        <v>16</v>
      </c>
      <c r="E510" s="1" t="s">
        <v>17</v>
      </c>
      <c r="F510" s="1" t="s">
        <v>1240</v>
      </c>
      <c r="G510" s="1" t="s">
        <v>31</v>
      </c>
      <c r="H510" s="1">
        <v>4</v>
      </c>
      <c r="I510" s="1">
        <v>52.4</v>
      </c>
      <c r="J510" s="1">
        <v>0</v>
      </c>
      <c r="K510" s="1">
        <v>209.6</v>
      </c>
      <c r="L510" s="1">
        <v>66.930000000000007</v>
      </c>
      <c r="M510" s="1">
        <v>16</v>
      </c>
      <c r="N510" s="1" t="s">
        <v>26</v>
      </c>
      <c r="O510" s="1" t="s">
        <v>46</v>
      </c>
    </row>
    <row r="511" spans="1:15" x14ac:dyDescent="0.25">
      <c r="A511" s="1">
        <v>100005</v>
      </c>
      <c r="B511" s="2">
        <v>44973</v>
      </c>
      <c r="C511" s="1" t="s">
        <v>558</v>
      </c>
      <c r="D511" s="1" t="s">
        <v>37</v>
      </c>
      <c r="E511" s="1" t="s">
        <v>17</v>
      </c>
      <c r="F511" s="1" t="s">
        <v>1239</v>
      </c>
      <c r="G511" s="1" t="s">
        <v>48</v>
      </c>
      <c r="H511" s="1">
        <v>1</v>
      </c>
      <c r="I511" s="1">
        <v>72.099999999999994</v>
      </c>
      <c r="J511" s="1">
        <v>0</v>
      </c>
      <c r="K511" s="1">
        <v>72.099999999999994</v>
      </c>
      <c r="L511" s="1">
        <v>17.59</v>
      </c>
      <c r="M511" s="1">
        <v>37</v>
      </c>
      <c r="N511" s="1" t="s">
        <v>19</v>
      </c>
      <c r="O511" s="1" t="s">
        <v>32</v>
      </c>
    </row>
    <row r="512" spans="1:15" x14ac:dyDescent="0.25">
      <c r="A512" s="1">
        <v>100310</v>
      </c>
      <c r="B512" s="2">
        <v>44928</v>
      </c>
      <c r="C512" s="1" t="s">
        <v>559</v>
      </c>
      <c r="D512" s="1" t="s">
        <v>73</v>
      </c>
      <c r="E512" s="1" t="s">
        <v>25</v>
      </c>
      <c r="F512" s="1" t="s">
        <v>1240</v>
      </c>
      <c r="G512" s="1" t="s">
        <v>18</v>
      </c>
      <c r="H512" s="1">
        <v>5</v>
      </c>
      <c r="I512" s="1">
        <v>36.36</v>
      </c>
      <c r="J512" s="1">
        <v>5</v>
      </c>
      <c r="K512" s="1">
        <v>172.71</v>
      </c>
      <c r="L512" s="1">
        <v>44.5</v>
      </c>
      <c r="M512" s="1">
        <v>25</v>
      </c>
      <c r="N512" s="1" t="s">
        <v>19</v>
      </c>
      <c r="O512" s="1" t="s">
        <v>81</v>
      </c>
    </row>
    <row r="513" spans="1:15" x14ac:dyDescent="0.25">
      <c r="A513" s="1">
        <v>100661</v>
      </c>
      <c r="B513" s="2">
        <v>45882</v>
      </c>
      <c r="C513" s="1" t="s">
        <v>560</v>
      </c>
      <c r="D513" s="1" t="s">
        <v>70</v>
      </c>
      <c r="E513" s="1" t="s">
        <v>25</v>
      </c>
      <c r="F513" s="1" t="s">
        <v>1240</v>
      </c>
      <c r="G513" s="1" t="s">
        <v>31</v>
      </c>
      <c r="H513" s="1">
        <v>3</v>
      </c>
      <c r="I513" s="1">
        <v>142.51</v>
      </c>
      <c r="J513" s="1">
        <v>0</v>
      </c>
      <c r="K513" s="1">
        <v>427.53</v>
      </c>
      <c r="L513" s="1">
        <v>157.68</v>
      </c>
      <c r="M513" s="1">
        <v>32</v>
      </c>
      <c r="N513" s="1" t="s">
        <v>19</v>
      </c>
      <c r="O513" s="1" t="s">
        <v>81</v>
      </c>
    </row>
    <row r="514" spans="1:15" x14ac:dyDescent="0.25">
      <c r="A514" s="1">
        <v>100404</v>
      </c>
      <c r="B514" s="2">
        <v>45770</v>
      </c>
      <c r="C514" s="1" t="s">
        <v>561</v>
      </c>
      <c r="D514" s="1" t="s">
        <v>70</v>
      </c>
      <c r="E514" s="1" t="s">
        <v>25</v>
      </c>
      <c r="F514" s="1" t="s">
        <v>1240</v>
      </c>
      <c r="G514" s="1" t="s">
        <v>31</v>
      </c>
      <c r="H514" s="1">
        <v>2</v>
      </c>
      <c r="I514" s="1">
        <v>147.32</v>
      </c>
      <c r="J514" s="1">
        <v>5</v>
      </c>
      <c r="K514" s="1">
        <v>279.91000000000003</v>
      </c>
      <c r="L514" s="1">
        <v>104.82</v>
      </c>
      <c r="M514" s="1">
        <v>29</v>
      </c>
      <c r="N514" s="1" t="s">
        <v>19</v>
      </c>
      <c r="O514" s="1" t="s">
        <v>43</v>
      </c>
    </row>
    <row r="515" spans="1:15" x14ac:dyDescent="0.2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x14ac:dyDescent="0.25">
      <c r="A516" s="1">
        <v>101043</v>
      </c>
      <c r="B516" s="2">
        <v>45571</v>
      </c>
      <c r="C516" s="1" t="s">
        <v>38</v>
      </c>
      <c r="D516" s="1" t="s">
        <v>87</v>
      </c>
      <c r="E516" s="1" t="s">
        <v>25</v>
      </c>
      <c r="F516" s="1" t="s">
        <v>1240</v>
      </c>
      <c r="G516" s="1" t="s">
        <v>18</v>
      </c>
      <c r="H516" s="1">
        <v>2</v>
      </c>
      <c r="I516" s="1">
        <v>84.94</v>
      </c>
      <c r="J516" s="1">
        <v>0</v>
      </c>
      <c r="K516" s="1">
        <v>169.88</v>
      </c>
      <c r="L516" s="1">
        <v>67.75</v>
      </c>
      <c r="M516" s="1">
        <v>21</v>
      </c>
      <c r="N516" s="1" t="s">
        <v>19</v>
      </c>
      <c r="O516" s="1" t="s">
        <v>81</v>
      </c>
    </row>
    <row r="517" spans="1:15" x14ac:dyDescent="0.25">
      <c r="A517" s="1">
        <v>101057</v>
      </c>
      <c r="B517" s="2">
        <v>45715</v>
      </c>
      <c r="C517" s="1" t="s">
        <v>563</v>
      </c>
      <c r="D517" s="1" t="s">
        <v>24</v>
      </c>
      <c r="E517" s="1" t="s">
        <v>25</v>
      </c>
      <c r="F517" s="1" t="s">
        <v>1239</v>
      </c>
      <c r="G517" s="1" t="s">
        <v>31</v>
      </c>
      <c r="H517" s="1">
        <v>3</v>
      </c>
      <c r="I517" s="1">
        <v>85.71</v>
      </c>
      <c r="J517" s="1">
        <v>40</v>
      </c>
      <c r="K517" s="1">
        <v>154.28</v>
      </c>
      <c r="L517" s="1">
        <v>45.27</v>
      </c>
      <c r="M517" s="1">
        <v>39</v>
      </c>
      <c r="N517" s="1" t="s">
        <v>19</v>
      </c>
      <c r="O517" s="1" t="s">
        <v>81</v>
      </c>
    </row>
    <row r="518" spans="1:15" x14ac:dyDescent="0.25">
      <c r="A518" s="1">
        <v>100104</v>
      </c>
      <c r="B518" s="2">
        <v>45551</v>
      </c>
      <c r="C518" s="1" t="s">
        <v>564</v>
      </c>
      <c r="D518" s="1" t="s">
        <v>62</v>
      </c>
      <c r="E518" s="1" t="s">
        <v>17</v>
      </c>
      <c r="F518" s="1" t="s">
        <v>1240</v>
      </c>
      <c r="G518" s="1" t="s">
        <v>48</v>
      </c>
      <c r="H518" s="1">
        <v>1</v>
      </c>
      <c r="I518" s="1">
        <v>138.34</v>
      </c>
      <c r="J518" s="1">
        <v>0</v>
      </c>
      <c r="K518" s="1">
        <v>138.34</v>
      </c>
      <c r="L518" s="1">
        <v>35.35</v>
      </c>
      <c r="M518" s="1">
        <v>38</v>
      </c>
      <c r="N518" s="1" t="s">
        <v>26</v>
      </c>
      <c r="O518" s="1" t="s">
        <v>46</v>
      </c>
    </row>
    <row r="519" spans="1:15" x14ac:dyDescent="0.25">
      <c r="A519" s="1">
        <v>100536</v>
      </c>
      <c r="B519" s="2">
        <v>45575</v>
      </c>
      <c r="C519" s="1" t="s">
        <v>565</v>
      </c>
      <c r="D519" s="1" t="s">
        <v>34</v>
      </c>
      <c r="E519" s="1" t="s">
        <v>30</v>
      </c>
      <c r="F519" s="1" t="s">
        <v>1240</v>
      </c>
      <c r="G519" s="1" t="s">
        <v>18</v>
      </c>
      <c r="H519" s="1">
        <v>2</v>
      </c>
      <c r="I519" s="1">
        <v>66.5</v>
      </c>
      <c r="J519" s="1">
        <v>5</v>
      </c>
      <c r="K519" s="1">
        <v>126.35</v>
      </c>
      <c r="L519" s="1">
        <v>47.79</v>
      </c>
      <c r="M519" s="1">
        <v>24</v>
      </c>
      <c r="N519" s="1" t="s">
        <v>26</v>
      </c>
      <c r="O519" s="1" t="s">
        <v>51</v>
      </c>
    </row>
    <row r="520" spans="1:15" x14ac:dyDescent="0.25">
      <c r="A520" s="1">
        <v>100605</v>
      </c>
      <c r="B520" s="2">
        <v>45500</v>
      </c>
      <c r="C520" s="1" t="s">
        <v>566</v>
      </c>
      <c r="D520" s="1" t="s">
        <v>73</v>
      </c>
      <c r="E520" s="1" t="s">
        <v>25</v>
      </c>
      <c r="F520" s="1" t="s">
        <v>1240</v>
      </c>
      <c r="G520" s="1" t="s">
        <v>18</v>
      </c>
      <c r="H520" s="1">
        <v>1</v>
      </c>
      <c r="I520" s="1">
        <v>34.1</v>
      </c>
      <c r="J520" s="1">
        <v>10</v>
      </c>
      <c r="K520" s="1">
        <v>30.69</v>
      </c>
      <c r="L520" s="1">
        <v>7.56</v>
      </c>
      <c r="M520" s="1">
        <v>45</v>
      </c>
      <c r="N520" s="1" t="s">
        <v>19</v>
      </c>
      <c r="O520" s="1" t="s">
        <v>20</v>
      </c>
    </row>
    <row r="521" spans="1:15" x14ac:dyDescent="0.25">
      <c r="A521" s="1">
        <v>100062</v>
      </c>
      <c r="B521" s="2">
        <v>45699</v>
      </c>
      <c r="C521" s="1" t="s">
        <v>567</v>
      </c>
      <c r="D521" s="1" t="s">
        <v>39</v>
      </c>
      <c r="E521" s="1" t="s">
        <v>25</v>
      </c>
      <c r="F521" s="1" t="s">
        <v>1240</v>
      </c>
      <c r="G521" s="1" t="s">
        <v>18</v>
      </c>
      <c r="H521" s="1">
        <v>3</v>
      </c>
      <c r="I521" s="1">
        <v>149.9</v>
      </c>
      <c r="J521" s="1">
        <v>0</v>
      </c>
      <c r="K521" s="1">
        <v>449.7</v>
      </c>
      <c r="L521" s="1">
        <v>174.72</v>
      </c>
      <c r="M521" s="1">
        <v>33</v>
      </c>
      <c r="N521" s="1" t="s">
        <v>26</v>
      </c>
      <c r="O521" s="1" t="s">
        <v>35</v>
      </c>
    </row>
    <row r="522" spans="1:15" x14ac:dyDescent="0.25">
      <c r="A522" s="1">
        <v>100281</v>
      </c>
      <c r="B522" s="2">
        <v>45035</v>
      </c>
      <c r="C522" s="1" t="s">
        <v>568</v>
      </c>
      <c r="D522" s="1" t="s">
        <v>39</v>
      </c>
      <c r="E522" s="1" t="s">
        <v>25</v>
      </c>
      <c r="F522" s="1" t="s">
        <v>1240</v>
      </c>
      <c r="G522" s="1" t="s">
        <v>31</v>
      </c>
      <c r="H522" s="1">
        <v>4</v>
      </c>
      <c r="I522" s="1">
        <v>174.63</v>
      </c>
      <c r="J522" s="1">
        <v>10</v>
      </c>
      <c r="K522" s="1">
        <v>628.66999999999996</v>
      </c>
      <c r="L522" s="1">
        <v>195.66</v>
      </c>
      <c r="M522" s="1">
        <v>37</v>
      </c>
      <c r="N522" s="1" t="s">
        <v>19</v>
      </c>
      <c r="O522" s="1" t="s">
        <v>51</v>
      </c>
    </row>
    <row r="523" spans="1:15" x14ac:dyDescent="0.25">
      <c r="A523" s="1">
        <v>101055</v>
      </c>
      <c r="B523" s="2">
        <v>44998</v>
      </c>
      <c r="C523" s="1" t="s">
        <v>569</v>
      </c>
      <c r="D523" s="1" t="s">
        <v>68</v>
      </c>
      <c r="E523" s="1" t="s">
        <v>25</v>
      </c>
      <c r="F523" s="1" t="s">
        <v>1240</v>
      </c>
      <c r="G523" s="1" t="s">
        <v>48</v>
      </c>
      <c r="H523" s="1">
        <v>1</v>
      </c>
      <c r="I523" s="1">
        <v>230.24</v>
      </c>
      <c r="J523" s="1">
        <v>10</v>
      </c>
      <c r="K523" s="1">
        <v>207.22</v>
      </c>
      <c r="L523" s="1">
        <v>70.31</v>
      </c>
      <c r="M523" s="1">
        <v>25</v>
      </c>
      <c r="N523" s="1" t="s">
        <v>19</v>
      </c>
      <c r="O523" s="1" t="s">
        <v>27</v>
      </c>
    </row>
    <row r="524" spans="1:15" x14ac:dyDescent="0.2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x14ac:dyDescent="0.2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x14ac:dyDescent="0.2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x14ac:dyDescent="0.2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x14ac:dyDescent="0.2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x14ac:dyDescent="0.2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x14ac:dyDescent="0.2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x14ac:dyDescent="0.2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x14ac:dyDescent="0.2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x14ac:dyDescent="0.25">
      <c r="A533" s="1">
        <v>100009</v>
      </c>
      <c r="B533" s="2">
        <v>45332</v>
      </c>
      <c r="C533" s="1" t="s">
        <v>578</v>
      </c>
      <c r="D533" s="1" t="s">
        <v>29</v>
      </c>
      <c r="E533" s="1" t="s">
        <v>30</v>
      </c>
      <c r="F533" s="1" t="s">
        <v>1240</v>
      </c>
      <c r="G533" s="1" t="s">
        <v>31</v>
      </c>
      <c r="H533" s="1">
        <v>3</v>
      </c>
      <c r="I533" s="1">
        <v>15.72</v>
      </c>
      <c r="J533" s="1">
        <v>10</v>
      </c>
      <c r="K533" s="1">
        <v>42.44</v>
      </c>
      <c r="L533" s="1">
        <v>15.03</v>
      </c>
      <c r="M533" s="1">
        <v>16</v>
      </c>
      <c r="N533" s="1" t="s">
        <v>26</v>
      </c>
      <c r="O533" s="1" t="s">
        <v>32</v>
      </c>
    </row>
    <row r="534" spans="1:15" x14ac:dyDescent="0.2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x14ac:dyDescent="0.2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x14ac:dyDescent="0.2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x14ac:dyDescent="0.25">
      <c r="A537" s="1">
        <v>100965</v>
      </c>
      <c r="B537" s="2">
        <v>45117</v>
      </c>
      <c r="C537" s="1" t="s">
        <v>582</v>
      </c>
      <c r="D537" s="1" t="s">
        <v>73</v>
      </c>
      <c r="E537" s="1" t="s">
        <v>25</v>
      </c>
      <c r="F537" s="1" t="s">
        <v>1240</v>
      </c>
      <c r="G537" s="1" t="s">
        <v>31</v>
      </c>
      <c r="H537" s="1">
        <v>5</v>
      </c>
      <c r="I537" s="1">
        <v>34.409999999999997</v>
      </c>
      <c r="J537" s="1">
        <v>10</v>
      </c>
      <c r="K537" s="1">
        <v>154.84</v>
      </c>
      <c r="L537" s="1">
        <v>46.15</v>
      </c>
      <c r="M537" s="1">
        <v>16</v>
      </c>
      <c r="N537" s="1" t="s">
        <v>26</v>
      </c>
      <c r="O537" s="1" t="s">
        <v>32</v>
      </c>
    </row>
    <row r="538" spans="1:15" x14ac:dyDescent="0.2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x14ac:dyDescent="0.2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x14ac:dyDescent="0.2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x14ac:dyDescent="0.25">
      <c r="A541" s="1">
        <v>100501</v>
      </c>
      <c r="B541" s="2">
        <v>45437</v>
      </c>
      <c r="C541" s="1" t="s">
        <v>586</v>
      </c>
      <c r="D541" s="1" t="s">
        <v>73</v>
      </c>
      <c r="E541" s="1" t="s">
        <v>25</v>
      </c>
      <c r="F541" s="1" t="s">
        <v>1240</v>
      </c>
      <c r="G541" s="1" t="s">
        <v>18</v>
      </c>
      <c r="H541" s="1">
        <v>2</v>
      </c>
      <c r="I541" s="1">
        <v>36.380000000000003</v>
      </c>
      <c r="J541" s="1">
        <v>20</v>
      </c>
      <c r="K541" s="1">
        <v>58.21</v>
      </c>
      <c r="L541" s="1">
        <v>13.87</v>
      </c>
      <c r="M541" s="1">
        <v>39</v>
      </c>
      <c r="N541" s="1" t="s">
        <v>26</v>
      </c>
      <c r="O541" s="1" t="s">
        <v>51</v>
      </c>
    </row>
    <row r="542" spans="1:15" x14ac:dyDescent="0.2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x14ac:dyDescent="0.2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x14ac:dyDescent="0.25">
      <c r="A544" s="1">
        <v>100177</v>
      </c>
      <c r="B544" s="2">
        <v>45374</v>
      </c>
      <c r="C544" s="1" t="s">
        <v>589</v>
      </c>
      <c r="D544" s="1" t="s">
        <v>62</v>
      </c>
      <c r="E544" s="1" t="s">
        <v>17</v>
      </c>
      <c r="F544" s="1" t="s">
        <v>1254</v>
      </c>
      <c r="G544" s="1" t="s">
        <v>18</v>
      </c>
      <c r="H544" s="1">
        <v>3</v>
      </c>
      <c r="I544" s="1">
        <v>138.01</v>
      </c>
      <c r="J544" s="1">
        <v>0</v>
      </c>
      <c r="K544" s="1">
        <v>414.03</v>
      </c>
      <c r="L544" s="1">
        <v>121.98</v>
      </c>
      <c r="M544" s="1">
        <v>25</v>
      </c>
      <c r="N544" s="1" t="s">
        <v>19</v>
      </c>
      <c r="O544" s="1" t="s">
        <v>46</v>
      </c>
    </row>
    <row r="545" spans="1:15" x14ac:dyDescent="0.2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x14ac:dyDescent="0.25">
      <c r="A546" s="1">
        <v>101050</v>
      </c>
      <c r="B546" s="2">
        <v>45896</v>
      </c>
      <c r="C546" s="1" t="s">
        <v>591</v>
      </c>
      <c r="D546" s="1" t="s">
        <v>45</v>
      </c>
      <c r="E546" s="1" t="s">
        <v>30</v>
      </c>
      <c r="F546" s="1" t="s">
        <v>1240</v>
      </c>
      <c r="G546" s="1" t="s">
        <v>48</v>
      </c>
      <c r="H546" s="1">
        <v>2</v>
      </c>
      <c r="I546" s="1">
        <v>15.79</v>
      </c>
      <c r="J546" s="1">
        <v>40</v>
      </c>
      <c r="K546" s="1">
        <v>18.95</v>
      </c>
      <c r="L546" s="1">
        <v>8.6</v>
      </c>
      <c r="M546" s="1">
        <v>38</v>
      </c>
      <c r="N546" s="1" t="s">
        <v>26</v>
      </c>
      <c r="O546" s="1" t="s">
        <v>81</v>
      </c>
    </row>
    <row r="547" spans="1:15" x14ac:dyDescent="0.25">
      <c r="A547" s="1">
        <v>100583</v>
      </c>
      <c r="B547" s="2">
        <v>45799</v>
      </c>
      <c r="C547" s="1" t="s">
        <v>592</v>
      </c>
      <c r="D547" s="1" t="s">
        <v>62</v>
      </c>
      <c r="E547" s="1" t="s">
        <v>17</v>
      </c>
      <c r="F547" s="1" t="s">
        <v>1240</v>
      </c>
      <c r="G547" s="1" t="s">
        <v>18</v>
      </c>
      <c r="H547" s="1">
        <v>4</v>
      </c>
      <c r="I547" s="1">
        <v>134.32</v>
      </c>
      <c r="J547" s="1">
        <v>5</v>
      </c>
      <c r="K547" s="1">
        <v>510.42</v>
      </c>
      <c r="L547" s="1">
        <v>145.47</v>
      </c>
      <c r="M547" s="1">
        <v>25</v>
      </c>
      <c r="N547" s="1" t="s">
        <v>26</v>
      </c>
      <c r="O547" s="1" t="s">
        <v>81</v>
      </c>
    </row>
    <row r="548" spans="1:15" x14ac:dyDescent="0.2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x14ac:dyDescent="0.25">
      <c r="A549" s="1">
        <v>100007</v>
      </c>
      <c r="B549" s="2">
        <v>45094</v>
      </c>
      <c r="C549" s="1" t="s">
        <v>594</v>
      </c>
      <c r="D549" s="1" t="s">
        <v>29</v>
      </c>
      <c r="E549" s="1" t="s">
        <v>30</v>
      </c>
      <c r="F549" s="1" t="s">
        <v>1239</v>
      </c>
      <c r="G549" s="1" t="s">
        <v>31</v>
      </c>
      <c r="H549" s="1">
        <v>4</v>
      </c>
      <c r="I549" s="1">
        <v>17.989999999999998</v>
      </c>
      <c r="J549" s="1">
        <v>5</v>
      </c>
      <c r="K549" s="1">
        <v>68.36</v>
      </c>
      <c r="L549" s="1">
        <v>35.85</v>
      </c>
      <c r="M549" s="1">
        <v>39</v>
      </c>
      <c r="N549" s="1" t="s">
        <v>19</v>
      </c>
      <c r="O549" s="1" t="s">
        <v>43</v>
      </c>
    </row>
    <row r="550" spans="1:15" x14ac:dyDescent="0.2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x14ac:dyDescent="0.25">
      <c r="A551" s="1">
        <v>100842</v>
      </c>
      <c r="B551" s="2">
        <v>45034</v>
      </c>
      <c r="C551" s="1" t="s">
        <v>596</v>
      </c>
      <c r="D551" s="1" t="s">
        <v>66</v>
      </c>
      <c r="E551" s="1" t="s">
        <v>17</v>
      </c>
      <c r="F551" s="1" t="s">
        <v>1240</v>
      </c>
      <c r="G551" s="1" t="s">
        <v>31</v>
      </c>
      <c r="H551" s="1">
        <v>4</v>
      </c>
      <c r="I551" s="1">
        <v>124.53</v>
      </c>
      <c r="J551" s="1">
        <v>0</v>
      </c>
      <c r="K551" s="1">
        <v>498.12</v>
      </c>
      <c r="L551" s="1">
        <v>113.08</v>
      </c>
      <c r="M551" s="1">
        <v>31</v>
      </c>
      <c r="N551" s="1" t="s">
        <v>26</v>
      </c>
      <c r="O551" s="1" t="s">
        <v>35</v>
      </c>
    </row>
    <row r="552" spans="1:15" x14ac:dyDescent="0.2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x14ac:dyDescent="0.25">
      <c r="A553" s="1">
        <v>100329</v>
      </c>
      <c r="B553" s="2">
        <v>45110</v>
      </c>
      <c r="C553" s="1" t="s">
        <v>598</v>
      </c>
      <c r="D553" s="1" t="s">
        <v>37</v>
      </c>
      <c r="E553" s="1" t="s">
        <v>17</v>
      </c>
      <c r="F553" s="1" t="s">
        <v>1239</v>
      </c>
      <c r="G553" s="1" t="s">
        <v>64</v>
      </c>
      <c r="H553" s="1">
        <v>3</v>
      </c>
      <c r="I553" s="1">
        <v>79.58</v>
      </c>
      <c r="J553" s="1">
        <v>0</v>
      </c>
      <c r="K553" s="1">
        <v>238.74</v>
      </c>
      <c r="L553" s="1">
        <v>77.37</v>
      </c>
      <c r="M553" s="1">
        <v>24</v>
      </c>
      <c r="N553" s="1" t="s">
        <v>26</v>
      </c>
      <c r="O553" s="1" t="s">
        <v>46</v>
      </c>
    </row>
    <row r="554" spans="1:15" x14ac:dyDescent="0.2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x14ac:dyDescent="0.2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x14ac:dyDescent="0.25">
      <c r="A556" s="1">
        <v>100258</v>
      </c>
      <c r="B556" s="2">
        <v>45741</v>
      </c>
      <c r="C556" s="1" t="s">
        <v>601</v>
      </c>
      <c r="D556" s="1" t="s">
        <v>62</v>
      </c>
      <c r="E556" s="1" t="s">
        <v>17</v>
      </c>
      <c r="F556" s="1" t="s">
        <v>1239</v>
      </c>
      <c r="G556" s="1" t="s">
        <v>31</v>
      </c>
      <c r="H556" s="1">
        <v>2</v>
      </c>
      <c r="I556" s="1">
        <v>141.22</v>
      </c>
      <c r="J556" s="1">
        <v>10</v>
      </c>
      <c r="K556" s="1">
        <v>254.2</v>
      </c>
      <c r="L556" s="1">
        <v>54.11</v>
      </c>
      <c r="M556" s="1">
        <v>22</v>
      </c>
      <c r="N556" s="1" t="s">
        <v>26</v>
      </c>
      <c r="O556" s="1" t="s">
        <v>51</v>
      </c>
    </row>
    <row r="557" spans="1:15" x14ac:dyDescent="0.2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x14ac:dyDescent="0.2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x14ac:dyDescent="0.2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x14ac:dyDescent="0.2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x14ac:dyDescent="0.25">
      <c r="A561" s="1">
        <v>100525</v>
      </c>
      <c r="B561" s="2">
        <v>45407</v>
      </c>
      <c r="C561" s="1" t="s">
        <v>606</v>
      </c>
      <c r="D561" s="1" t="s">
        <v>45</v>
      </c>
      <c r="E561" s="1" t="s">
        <v>30</v>
      </c>
      <c r="F561" s="1" t="s">
        <v>1254</v>
      </c>
      <c r="G561" s="1" t="s">
        <v>64</v>
      </c>
      <c r="H561" s="1">
        <v>3</v>
      </c>
      <c r="I561" s="1">
        <v>14</v>
      </c>
      <c r="J561" s="1">
        <v>10</v>
      </c>
      <c r="K561" s="1">
        <v>37.799999999999997</v>
      </c>
      <c r="L561" s="1">
        <v>9.34</v>
      </c>
      <c r="M561" s="1">
        <v>16</v>
      </c>
      <c r="N561" s="1" t="s">
        <v>26</v>
      </c>
      <c r="O561" s="1" t="s">
        <v>81</v>
      </c>
    </row>
    <row r="562" spans="1:15" x14ac:dyDescent="0.2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x14ac:dyDescent="0.25">
      <c r="A563" s="1">
        <v>100731</v>
      </c>
      <c r="B563" s="2">
        <v>45407</v>
      </c>
      <c r="C563" s="1" t="s">
        <v>608</v>
      </c>
      <c r="D563" s="1" t="s">
        <v>87</v>
      </c>
      <c r="E563" s="1" t="s">
        <v>25</v>
      </c>
      <c r="F563" s="1" t="s">
        <v>1240</v>
      </c>
      <c r="G563" s="1" t="s">
        <v>18</v>
      </c>
      <c r="H563" s="1">
        <v>2</v>
      </c>
      <c r="I563" s="1">
        <v>96.02</v>
      </c>
      <c r="J563" s="1">
        <v>0</v>
      </c>
      <c r="K563" s="1">
        <v>192.04</v>
      </c>
      <c r="L563" s="1">
        <v>56.49</v>
      </c>
      <c r="M563" s="1">
        <v>43</v>
      </c>
      <c r="N563" s="1" t="s">
        <v>26</v>
      </c>
      <c r="O563" s="1" t="s">
        <v>27</v>
      </c>
    </row>
    <row r="564" spans="1:15" x14ac:dyDescent="0.2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x14ac:dyDescent="0.2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x14ac:dyDescent="0.2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x14ac:dyDescent="0.2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x14ac:dyDescent="0.25">
      <c r="A568" s="1">
        <v>100959</v>
      </c>
      <c r="B568" s="2">
        <v>45187</v>
      </c>
      <c r="C568" s="1" t="s">
        <v>613</v>
      </c>
      <c r="D568" s="1" t="s">
        <v>37</v>
      </c>
      <c r="E568" s="1" t="s">
        <v>17</v>
      </c>
      <c r="F568" s="1" t="s">
        <v>1239</v>
      </c>
      <c r="G568" s="1" t="s">
        <v>48</v>
      </c>
      <c r="H568" s="1">
        <v>2</v>
      </c>
      <c r="I568" s="1">
        <v>67.56</v>
      </c>
      <c r="J568" s="1">
        <v>0</v>
      </c>
      <c r="K568" s="1">
        <v>135.12</v>
      </c>
      <c r="L568" s="1">
        <v>35.75</v>
      </c>
      <c r="M568" s="1">
        <v>29</v>
      </c>
      <c r="N568" s="1" t="s">
        <v>26</v>
      </c>
      <c r="O568" s="1" t="s">
        <v>27</v>
      </c>
    </row>
    <row r="569" spans="1:15" x14ac:dyDescent="0.25">
      <c r="A569" s="1">
        <v>100228</v>
      </c>
      <c r="B569" s="2">
        <v>45303</v>
      </c>
      <c r="C569" s="1" t="s">
        <v>614</v>
      </c>
      <c r="D569" s="1" t="s">
        <v>100</v>
      </c>
      <c r="E569" s="1" t="s">
        <v>25</v>
      </c>
      <c r="F569" s="1" t="s">
        <v>1239</v>
      </c>
      <c r="G569" s="1" t="s">
        <v>31</v>
      </c>
      <c r="H569" s="1">
        <v>3</v>
      </c>
      <c r="I569" s="1">
        <v>142.54</v>
      </c>
      <c r="J569" s="1">
        <v>20</v>
      </c>
      <c r="K569" s="1">
        <v>342.1</v>
      </c>
      <c r="L569" s="1">
        <v>109.2</v>
      </c>
      <c r="M569" s="1">
        <v>18</v>
      </c>
      <c r="N569" s="1" t="s">
        <v>26</v>
      </c>
      <c r="O569" s="1" t="s">
        <v>43</v>
      </c>
    </row>
    <row r="570" spans="1:15" x14ac:dyDescent="0.2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x14ac:dyDescent="0.25">
      <c r="A571" s="1">
        <v>100212</v>
      </c>
      <c r="B571" s="2">
        <v>45486</v>
      </c>
      <c r="C571" s="1" t="s">
        <v>616</v>
      </c>
      <c r="D571" s="1" t="s">
        <v>59</v>
      </c>
      <c r="E571" s="1" t="s">
        <v>17</v>
      </c>
      <c r="F571" s="1" t="s">
        <v>1254</v>
      </c>
      <c r="G571" s="1" t="s">
        <v>31</v>
      </c>
      <c r="H571" s="1">
        <v>2</v>
      </c>
      <c r="I571" s="1">
        <v>32.31</v>
      </c>
      <c r="J571" s="1">
        <v>0</v>
      </c>
      <c r="K571" s="1">
        <v>64.62</v>
      </c>
      <c r="L571" s="1">
        <v>19.29</v>
      </c>
      <c r="M571" s="1">
        <v>31</v>
      </c>
      <c r="N571" s="1" t="s">
        <v>19</v>
      </c>
      <c r="O571" s="1" t="s">
        <v>20</v>
      </c>
    </row>
    <row r="572" spans="1:15" x14ac:dyDescent="0.2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x14ac:dyDescent="0.2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x14ac:dyDescent="0.2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x14ac:dyDescent="0.25">
      <c r="A575" s="1">
        <v>100707</v>
      </c>
      <c r="B575" s="2">
        <v>45115</v>
      </c>
      <c r="C575" s="1" t="s">
        <v>620</v>
      </c>
      <c r="D575" s="1" t="s">
        <v>73</v>
      </c>
      <c r="E575" s="1" t="s">
        <v>25</v>
      </c>
      <c r="F575" s="1" t="s">
        <v>1240</v>
      </c>
      <c r="G575" s="1" t="s">
        <v>18</v>
      </c>
      <c r="H575" s="1">
        <v>1</v>
      </c>
      <c r="I575" s="1">
        <v>35.89</v>
      </c>
      <c r="J575" s="1">
        <v>0</v>
      </c>
      <c r="K575" s="1">
        <v>35.89</v>
      </c>
      <c r="L575" s="1">
        <v>11.09</v>
      </c>
      <c r="M575" s="1">
        <v>40</v>
      </c>
      <c r="N575" s="1" t="s">
        <v>26</v>
      </c>
      <c r="O575" s="1" t="s">
        <v>43</v>
      </c>
    </row>
    <row r="576" spans="1:15" x14ac:dyDescent="0.2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x14ac:dyDescent="0.25">
      <c r="A577" s="1">
        <v>100133</v>
      </c>
      <c r="B577" s="2">
        <v>45085</v>
      </c>
      <c r="C577" s="1" t="s">
        <v>622</v>
      </c>
      <c r="D577" s="1" t="s">
        <v>53</v>
      </c>
      <c r="E577" s="1" t="s">
        <v>30</v>
      </c>
      <c r="F577" s="1" t="s">
        <v>1240</v>
      </c>
      <c r="G577" s="1" t="s">
        <v>48</v>
      </c>
      <c r="H577" s="1">
        <v>4</v>
      </c>
      <c r="I577" s="1">
        <v>25.11</v>
      </c>
      <c r="J577" s="1">
        <v>20</v>
      </c>
      <c r="K577" s="1">
        <v>80.349999999999994</v>
      </c>
      <c r="L577" s="1">
        <v>33.92</v>
      </c>
      <c r="M577" s="1">
        <v>16</v>
      </c>
      <c r="N577" s="1" t="s">
        <v>26</v>
      </c>
      <c r="O577" s="1" t="s">
        <v>20</v>
      </c>
    </row>
    <row r="578" spans="1:15" x14ac:dyDescent="0.2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x14ac:dyDescent="0.2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x14ac:dyDescent="0.2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x14ac:dyDescent="0.2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x14ac:dyDescent="0.25">
      <c r="A582" s="1">
        <v>100876</v>
      </c>
      <c r="B582" s="2">
        <v>45690</v>
      </c>
      <c r="C582" s="1" t="s">
        <v>627</v>
      </c>
      <c r="D582" s="1" t="s">
        <v>24</v>
      </c>
      <c r="E582" s="1" t="s">
        <v>25</v>
      </c>
      <c r="F582" s="1" t="s">
        <v>1239</v>
      </c>
      <c r="G582" s="1" t="s">
        <v>48</v>
      </c>
      <c r="H582" s="1">
        <v>2</v>
      </c>
      <c r="I582" s="1">
        <v>101.82</v>
      </c>
      <c r="J582" s="1">
        <v>10</v>
      </c>
      <c r="K582" s="1">
        <v>183.28</v>
      </c>
      <c r="L582" s="1">
        <v>65.34</v>
      </c>
      <c r="M582" s="1">
        <v>24</v>
      </c>
      <c r="N582" s="1" t="s">
        <v>19</v>
      </c>
      <c r="O582" s="1" t="s">
        <v>20</v>
      </c>
    </row>
    <row r="583" spans="1:15" x14ac:dyDescent="0.25">
      <c r="A583" s="1">
        <v>100504</v>
      </c>
      <c r="B583" s="2">
        <v>45709</v>
      </c>
      <c r="C583" s="1" t="s">
        <v>628</v>
      </c>
      <c r="D583" s="1" t="s">
        <v>56</v>
      </c>
      <c r="E583" s="1" t="s">
        <v>30</v>
      </c>
      <c r="F583" s="1" t="s">
        <v>1240</v>
      </c>
      <c r="G583" s="1" t="s">
        <v>31</v>
      </c>
      <c r="H583" s="1">
        <v>4</v>
      </c>
      <c r="I583" s="1">
        <v>44.86</v>
      </c>
      <c r="J583" s="1">
        <v>5</v>
      </c>
      <c r="K583" s="1">
        <v>170.47</v>
      </c>
      <c r="L583" s="1">
        <v>54.65</v>
      </c>
      <c r="M583" s="1">
        <v>34</v>
      </c>
      <c r="N583" s="1" t="s">
        <v>26</v>
      </c>
      <c r="O583" s="1" t="s">
        <v>32</v>
      </c>
    </row>
    <row r="584" spans="1:15" x14ac:dyDescent="0.2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x14ac:dyDescent="0.25">
      <c r="A585" s="1">
        <v>100347</v>
      </c>
      <c r="B585" s="2">
        <v>45131</v>
      </c>
      <c r="C585" s="1" t="s">
        <v>630</v>
      </c>
      <c r="D585" s="1" t="s">
        <v>56</v>
      </c>
      <c r="E585" s="1" t="s">
        <v>30</v>
      </c>
      <c r="F585" s="1" t="s">
        <v>1239</v>
      </c>
      <c r="G585" s="1" t="s">
        <v>31</v>
      </c>
      <c r="H585" s="1">
        <v>4</v>
      </c>
      <c r="I585" s="1">
        <v>45.84</v>
      </c>
      <c r="J585" s="1">
        <v>20</v>
      </c>
      <c r="K585" s="1">
        <v>146.69</v>
      </c>
      <c r="L585" s="1">
        <v>36.659999999999997</v>
      </c>
      <c r="M585" s="1">
        <v>30</v>
      </c>
      <c r="N585" s="1" t="s">
        <v>26</v>
      </c>
      <c r="O585" s="1" t="s">
        <v>32</v>
      </c>
    </row>
    <row r="586" spans="1:15" x14ac:dyDescent="0.2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x14ac:dyDescent="0.25">
      <c r="A587" s="1">
        <v>100000</v>
      </c>
      <c r="B587" s="2">
        <v>45581</v>
      </c>
      <c r="C587" s="1" t="s">
        <v>632</v>
      </c>
      <c r="D587" s="1" t="s">
        <v>87</v>
      </c>
      <c r="E587" s="1" t="s">
        <v>25</v>
      </c>
      <c r="F587" s="1" t="s">
        <v>1240</v>
      </c>
      <c r="G587" s="1" t="s">
        <v>18</v>
      </c>
      <c r="H587" s="1">
        <v>3</v>
      </c>
      <c r="I587" s="1">
        <v>88.38</v>
      </c>
      <c r="J587" s="1">
        <v>10</v>
      </c>
      <c r="K587" s="1">
        <v>238.63</v>
      </c>
      <c r="L587" s="1">
        <v>69.94</v>
      </c>
      <c r="M587" s="1">
        <v>32</v>
      </c>
      <c r="N587" s="1" t="s">
        <v>19</v>
      </c>
      <c r="O587" s="1" t="s">
        <v>27</v>
      </c>
    </row>
    <row r="588" spans="1:15" x14ac:dyDescent="0.2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x14ac:dyDescent="0.2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x14ac:dyDescent="0.2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x14ac:dyDescent="0.25">
      <c r="A591" s="1">
        <v>100777</v>
      </c>
      <c r="B591" s="2">
        <v>45570</v>
      </c>
      <c r="C591" s="1" t="s">
        <v>635</v>
      </c>
      <c r="D591" s="1" t="s">
        <v>16</v>
      </c>
      <c r="E591" s="1" t="s">
        <v>17</v>
      </c>
      <c r="F591" s="1" t="s">
        <v>1240</v>
      </c>
      <c r="G591" s="1" t="s">
        <v>18</v>
      </c>
      <c r="H591" s="1">
        <v>1</v>
      </c>
      <c r="I591" s="1">
        <v>60.55</v>
      </c>
      <c r="J591" s="1">
        <v>5</v>
      </c>
      <c r="K591" s="1">
        <v>57.52</v>
      </c>
      <c r="L591" s="1">
        <v>16.149999999999999</v>
      </c>
      <c r="M591" s="1">
        <v>33</v>
      </c>
      <c r="N591" s="1" t="s">
        <v>26</v>
      </c>
      <c r="O591" s="1" t="s">
        <v>35</v>
      </c>
    </row>
    <row r="592" spans="1:15" x14ac:dyDescent="0.2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x14ac:dyDescent="0.25">
      <c r="A593" s="1">
        <v>100172</v>
      </c>
      <c r="B593" s="2">
        <v>44971</v>
      </c>
      <c r="C593" s="1" t="s">
        <v>637</v>
      </c>
      <c r="D593" s="1" t="s">
        <v>62</v>
      </c>
      <c r="E593" s="1" t="s">
        <v>17</v>
      </c>
      <c r="F593" s="1" t="s">
        <v>1240</v>
      </c>
      <c r="G593" s="1" t="s">
        <v>18</v>
      </c>
      <c r="H593" s="1">
        <v>3</v>
      </c>
      <c r="I593" s="1">
        <v>138.93</v>
      </c>
      <c r="J593" s="1">
        <v>0</v>
      </c>
      <c r="K593" s="1">
        <v>416.79</v>
      </c>
      <c r="L593" s="1">
        <v>123.68</v>
      </c>
      <c r="M593" s="1">
        <v>31</v>
      </c>
      <c r="N593" s="1" t="s">
        <v>19</v>
      </c>
      <c r="O593" s="1" t="s">
        <v>43</v>
      </c>
    </row>
    <row r="594" spans="1:15" x14ac:dyDescent="0.2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x14ac:dyDescent="0.2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x14ac:dyDescent="0.2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x14ac:dyDescent="0.25">
      <c r="A597" s="1">
        <v>100530</v>
      </c>
      <c r="B597" s="2">
        <v>45055</v>
      </c>
      <c r="C597" s="1" t="s">
        <v>641</v>
      </c>
      <c r="D597" s="1" t="s">
        <v>29</v>
      </c>
      <c r="E597" s="1" t="s">
        <v>30</v>
      </c>
      <c r="F597" s="1" t="s">
        <v>1240</v>
      </c>
      <c r="G597" s="1" t="s">
        <v>18</v>
      </c>
      <c r="H597" s="1">
        <v>3</v>
      </c>
      <c r="I597" s="1">
        <v>17.489999999999998</v>
      </c>
      <c r="J597" s="1">
        <v>0</v>
      </c>
      <c r="K597" s="1">
        <v>52.47</v>
      </c>
      <c r="L597" s="1">
        <v>27.18</v>
      </c>
      <c r="M597" s="1">
        <v>41</v>
      </c>
      <c r="N597" s="1" t="s">
        <v>26</v>
      </c>
      <c r="O597" s="1" t="s">
        <v>43</v>
      </c>
    </row>
    <row r="598" spans="1:15" x14ac:dyDescent="0.25">
      <c r="A598" s="1">
        <v>100090</v>
      </c>
      <c r="B598" s="2">
        <v>45812</v>
      </c>
      <c r="C598" s="1" t="s">
        <v>642</v>
      </c>
      <c r="D598" s="1" t="s">
        <v>56</v>
      </c>
      <c r="E598" s="1" t="s">
        <v>30</v>
      </c>
      <c r="F598" s="1" t="s">
        <v>1240</v>
      </c>
      <c r="G598" s="1" t="s">
        <v>48</v>
      </c>
      <c r="H598" s="1">
        <v>2</v>
      </c>
      <c r="I598" s="1">
        <v>47.21</v>
      </c>
      <c r="J598" s="1">
        <v>0</v>
      </c>
      <c r="K598" s="1">
        <v>94.42</v>
      </c>
      <c r="L598" s="1">
        <v>36.17</v>
      </c>
      <c r="M598" s="1">
        <v>27</v>
      </c>
      <c r="N598" s="1" t="s">
        <v>26</v>
      </c>
      <c r="O598" s="1" t="s">
        <v>81</v>
      </c>
    </row>
    <row r="599" spans="1:15" x14ac:dyDescent="0.25">
      <c r="A599" s="1">
        <v>101161</v>
      </c>
      <c r="B599" s="2">
        <v>45427</v>
      </c>
      <c r="C599" s="1" t="s">
        <v>643</v>
      </c>
      <c r="D599" s="1" t="s">
        <v>37</v>
      </c>
      <c r="E599" s="1" t="s">
        <v>17</v>
      </c>
      <c r="F599" s="1" t="s">
        <v>1240</v>
      </c>
      <c r="G599" s="1" t="s">
        <v>18</v>
      </c>
      <c r="H599" s="1">
        <v>3</v>
      </c>
      <c r="I599" s="1">
        <v>73.75</v>
      </c>
      <c r="J599" s="1">
        <v>5</v>
      </c>
      <c r="K599" s="1">
        <v>210.19</v>
      </c>
      <c r="L599" s="1">
        <v>40.81</v>
      </c>
      <c r="M599" s="1">
        <v>26</v>
      </c>
      <c r="N599" s="1" t="s">
        <v>19</v>
      </c>
      <c r="O599" s="1" t="s">
        <v>20</v>
      </c>
    </row>
    <row r="600" spans="1:15" x14ac:dyDescent="0.2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x14ac:dyDescent="0.25">
      <c r="A601" s="1">
        <v>101026</v>
      </c>
      <c r="B601" s="2">
        <v>45158</v>
      </c>
      <c r="C601" s="1" t="s">
        <v>645</v>
      </c>
      <c r="D601" s="1" t="s">
        <v>53</v>
      </c>
      <c r="E601" s="1" t="s">
        <v>30</v>
      </c>
      <c r="F601" s="1" t="s">
        <v>1240</v>
      </c>
      <c r="G601" s="1" t="s">
        <v>18</v>
      </c>
      <c r="H601" s="1">
        <v>4</v>
      </c>
      <c r="I601" s="1">
        <v>21.68</v>
      </c>
      <c r="J601" s="1">
        <v>5</v>
      </c>
      <c r="K601" s="1">
        <v>82.38</v>
      </c>
      <c r="L601" s="1">
        <v>27.07</v>
      </c>
      <c r="M601" s="1">
        <v>30</v>
      </c>
      <c r="N601" s="1" t="s">
        <v>26</v>
      </c>
      <c r="O601" s="1" t="s">
        <v>20</v>
      </c>
    </row>
    <row r="602" spans="1:15" x14ac:dyDescent="0.2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x14ac:dyDescent="0.25">
      <c r="A603" s="1">
        <v>100251</v>
      </c>
      <c r="B603" s="2">
        <v>45247</v>
      </c>
      <c r="C603" s="1" t="s">
        <v>647</v>
      </c>
      <c r="D603" s="1" t="s">
        <v>34</v>
      </c>
      <c r="E603" s="1" t="s">
        <v>30</v>
      </c>
      <c r="F603" s="1" t="s">
        <v>1254</v>
      </c>
      <c r="G603" s="1" t="s">
        <v>31</v>
      </c>
      <c r="H603" s="1">
        <v>2</v>
      </c>
      <c r="I603" s="1">
        <v>56.19</v>
      </c>
      <c r="J603" s="1">
        <v>10</v>
      </c>
      <c r="K603" s="1">
        <v>101.14</v>
      </c>
      <c r="L603" s="1">
        <v>26.53</v>
      </c>
      <c r="M603" s="1">
        <v>33</v>
      </c>
      <c r="N603" s="1" t="s">
        <v>26</v>
      </c>
      <c r="O603" s="1" t="s">
        <v>32</v>
      </c>
    </row>
    <row r="604" spans="1:15" x14ac:dyDescent="0.2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x14ac:dyDescent="0.2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x14ac:dyDescent="0.25">
      <c r="A606" s="1">
        <v>100300</v>
      </c>
      <c r="B606" s="2">
        <v>45472</v>
      </c>
      <c r="C606" s="1" t="s">
        <v>650</v>
      </c>
      <c r="D606" s="1" t="s">
        <v>22</v>
      </c>
      <c r="E606" s="1" t="s">
        <v>17</v>
      </c>
      <c r="F606" s="1" t="s">
        <v>1240</v>
      </c>
      <c r="G606" s="1" t="s">
        <v>64</v>
      </c>
      <c r="H606" s="1">
        <v>3</v>
      </c>
      <c r="I606" s="1">
        <v>26.27</v>
      </c>
      <c r="J606" s="1">
        <v>0</v>
      </c>
      <c r="K606" s="1">
        <v>78.81</v>
      </c>
      <c r="L606" s="1">
        <v>19.940000000000001</v>
      </c>
      <c r="M606" s="1">
        <v>33</v>
      </c>
      <c r="N606" s="1" t="s">
        <v>26</v>
      </c>
      <c r="O606" s="1" t="s">
        <v>20</v>
      </c>
    </row>
    <row r="607" spans="1:15" x14ac:dyDescent="0.25">
      <c r="A607" s="1">
        <v>101132</v>
      </c>
      <c r="B607" s="2">
        <v>45837</v>
      </c>
      <c r="C607" s="1" t="s">
        <v>651</v>
      </c>
      <c r="D607" s="1" t="s">
        <v>70</v>
      </c>
      <c r="E607" s="1" t="s">
        <v>25</v>
      </c>
      <c r="F607" s="1" t="s">
        <v>1240</v>
      </c>
      <c r="G607" s="1" t="s">
        <v>18</v>
      </c>
      <c r="H607" s="1">
        <v>2</v>
      </c>
      <c r="I607" s="1">
        <v>150.02000000000001</v>
      </c>
      <c r="J607" s="1">
        <v>0</v>
      </c>
      <c r="K607" s="1">
        <v>300.04000000000002</v>
      </c>
      <c r="L607" s="1">
        <v>113.01</v>
      </c>
      <c r="M607" s="1">
        <v>41</v>
      </c>
      <c r="N607" s="1" t="s">
        <v>19</v>
      </c>
      <c r="O607" s="1" t="s">
        <v>43</v>
      </c>
    </row>
    <row r="608" spans="1:15" x14ac:dyDescent="0.2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x14ac:dyDescent="0.2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x14ac:dyDescent="0.25">
      <c r="A610" s="1">
        <v>100499</v>
      </c>
      <c r="B610" s="2">
        <v>45905</v>
      </c>
      <c r="C610" s="1" t="s">
        <v>654</v>
      </c>
      <c r="D610" s="1" t="s">
        <v>59</v>
      </c>
      <c r="E610" s="1" t="s">
        <v>17</v>
      </c>
      <c r="F610" s="1" t="s">
        <v>1240</v>
      </c>
      <c r="G610" s="1" t="s">
        <v>48</v>
      </c>
      <c r="H610" s="1">
        <v>1</v>
      </c>
      <c r="I610" s="1">
        <v>31.4</v>
      </c>
      <c r="J610" s="1">
        <v>0</v>
      </c>
      <c r="K610" s="1">
        <v>31.4</v>
      </c>
      <c r="L610" s="1">
        <v>7</v>
      </c>
      <c r="M610" s="1">
        <v>41</v>
      </c>
      <c r="N610" s="1" t="s">
        <v>26</v>
      </c>
      <c r="O610" s="1" t="s">
        <v>27</v>
      </c>
    </row>
    <row r="611" spans="1:15" x14ac:dyDescent="0.2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x14ac:dyDescent="0.25">
      <c r="A612" s="1">
        <v>100918</v>
      </c>
      <c r="B612" s="2">
        <v>45102</v>
      </c>
      <c r="C612" s="1" t="s">
        <v>656</v>
      </c>
      <c r="D612" s="1" t="s">
        <v>87</v>
      </c>
      <c r="E612" s="1" t="s">
        <v>25</v>
      </c>
      <c r="F612" s="1" t="s">
        <v>1240</v>
      </c>
      <c r="G612" s="1" t="s">
        <v>48</v>
      </c>
      <c r="H612" s="1">
        <v>3</v>
      </c>
      <c r="I612" s="1">
        <v>73.52</v>
      </c>
      <c r="J612" s="1">
        <v>0</v>
      </c>
      <c r="K612" s="1">
        <v>220.56</v>
      </c>
      <c r="L612" s="1">
        <v>53.82</v>
      </c>
      <c r="M612" s="1">
        <v>18</v>
      </c>
      <c r="N612" s="1" t="s">
        <v>19</v>
      </c>
      <c r="O612" s="1" t="s">
        <v>81</v>
      </c>
    </row>
    <row r="613" spans="1:15" x14ac:dyDescent="0.2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x14ac:dyDescent="0.25">
      <c r="A614" s="1">
        <v>100338</v>
      </c>
      <c r="B614" s="2">
        <v>45387</v>
      </c>
      <c r="C614" s="1" t="s">
        <v>658</v>
      </c>
      <c r="D614" s="1" t="s">
        <v>29</v>
      </c>
      <c r="E614" s="1" t="s">
        <v>30</v>
      </c>
      <c r="F614" s="1" t="s">
        <v>1240</v>
      </c>
      <c r="G614" s="1" t="s">
        <v>18</v>
      </c>
      <c r="H614" s="1">
        <v>1</v>
      </c>
      <c r="I614" s="1">
        <v>18.12</v>
      </c>
      <c r="J614" s="1">
        <v>5</v>
      </c>
      <c r="K614" s="1">
        <v>17.21</v>
      </c>
      <c r="L614" s="1">
        <v>3.92</v>
      </c>
      <c r="M614" s="1">
        <v>38</v>
      </c>
      <c r="N614" s="1" t="s">
        <v>19</v>
      </c>
      <c r="O614" s="1" t="s">
        <v>46</v>
      </c>
    </row>
    <row r="615" spans="1:15" x14ac:dyDescent="0.25">
      <c r="A615" s="1">
        <v>100963</v>
      </c>
      <c r="B615" s="2">
        <v>45099</v>
      </c>
      <c r="C615" s="1" t="s">
        <v>659</v>
      </c>
      <c r="D615" s="1" t="s">
        <v>53</v>
      </c>
      <c r="E615" s="1" t="s">
        <v>30</v>
      </c>
      <c r="F615" s="1" t="s">
        <v>1240</v>
      </c>
      <c r="G615" s="1" t="s">
        <v>31</v>
      </c>
      <c r="H615" s="1">
        <v>3</v>
      </c>
      <c r="I615" s="1">
        <v>23.28</v>
      </c>
      <c r="J615" s="1">
        <v>10</v>
      </c>
      <c r="K615" s="1">
        <v>62.86</v>
      </c>
      <c r="L615" s="1">
        <v>23.53</v>
      </c>
      <c r="M615" s="1">
        <v>25</v>
      </c>
      <c r="N615" s="1" t="s">
        <v>26</v>
      </c>
      <c r="O615" s="1" t="s">
        <v>20</v>
      </c>
    </row>
    <row r="616" spans="1:15" x14ac:dyDescent="0.25">
      <c r="A616" s="1">
        <v>100164</v>
      </c>
      <c r="B616" s="2">
        <v>45708</v>
      </c>
      <c r="C616" s="1" t="s">
        <v>660</v>
      </c>
      <c r="D616" s="1" t="s">
        <v>42</v>
      </c>
      <c r="E616" s="1" t="s">
        <v>25</v>
      </c>
      <c r="F616" s="1" t="s">
        <v>1254</v>
      </c>
      <c r="G616" s="1" t="s">
        <v>18</v>
      </c>
      <c r="H616" s="1">
        <v>1</v>
      </c>
      <c r="I616" s="1">
        <v>168.43</v>
      </c>
      <c r="J616" s="1">
        <v>40</v>
      </c>
      <c r="K616" s="1">
        <v>101.06</v>
      </c>
      <c r="L616" s="1">
        <v>40.479999999999997</v>
      </c>
      <c r="M616" s="1">
        <v>16</v>
      </c>
      <c r="N616" s="1" t="s">
        <v>26</v>
      </c>
      <c r="O616" s="1" t="s">
        <v>51</v>
      </c>
    </row>
    <row r="617" spans="1:15" x14ac:dyDescent="0.25">
      <c r="A617" s="1">
        <v>100028</v>
      </c>
      <c r="B617" s="2">
        <v>45536</v>
      </c>
      <c r="C617" s="1" t="s">
        <v>661</v>
      </c>
      <c r="D617" s="1" t="s">
        <v>24</v>
      </c>
      <c r="E617" s="1" t="s">
        <v>25</v>
      </c>
      <c r="F617" s="1" t="s">
        <v>1240</v>
      </c>
      <c r="G617" s="1" t="s">
        <v>18</v>
      </c>
      <c r="H617" s="1">
        <v>5</v>
      </c>
      <c r="I617" s="1">
        <v>92.53</v>
      </c>
      <c r="J617" s="1">
        <v>0</v>
      </c>
      <c r="K617" s="1">
        <v>462.65</v>
      </c>
      <c r="L617" s="1">
        <v>134.03</v>
      </c>
      <c r="M617" s="1">
        <v>34</v>
      </c>
      <c r="N617" s="1" t="s">
        <v>19</v>
      </c>
      <c r="O617" s="1" t="s">
        <v>51</v>
      </c>
    </row>
    <row r="618" spans="1:15" x14ac:dyDescent="0.2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x14ac:dyDescent="0.2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x14ac:dyDescent="0.25">
      <c r="A620" s="1">
        <v>101103</v>
      </c>
      <c r="B620" s="2">
        <v>45769</v>
      </c>
      <c r="C620" s="1" t="s">
        <v>664</v>
      </c>
      <c r="D620" s="1" t="s">
        <v>39</v>
      </c>
      <c r="E620" s="1" t="s">
        <v>25</v>
      </c>
      <c r="F620" s="1" t="s">
        <v>1254</v>
      </c>
      <c r="G620" s="1" t="s">
        <v>18</v>
      </c>
      <c r="H620" s="1">
        <v>5</v>
      </c>
      <c r="I620" s="1">
        <v>200.05</v>
      </c>
      <c r="J620" s="1">
        <v>0</v>
      </c>
      <c r="K620" s="1">
        <v>1000.25</v>
      </c>
      <c r="L620" s="1">
        <v>230.51</v>
      </c>
      <c r="M620" s="1">
        <v>26</v>
      </c>
      <c r="N620" s="1" t="s">
        <v>19</v>
      </c>
      <c r="O620" s="1" t="s">
        <v>35</v>
      </c>
    </row>
    <row r="621" spans="1:15" x14ac:dyDescent="0.2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x14ac:dyDescent="0.2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x14ac:dyDescent="0.2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x14ac:dyDescent="0.2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x14ac:dyDescent="0.2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x14ac:dyDescent="0.25">
      <c r="A626" s="1">
        <v>100701</v>
      </c>
      <c r="B626" s="2">
        <v>45640</v>
      </c>
      <c r="C626" s="1" t="s">
        <v>670</v>
      </c>
      <c r="D626" s="1" t="s">
        <v>68</v>
      </c>
      <c r="E626" s="1" t="s">
        <v>25</v>
      </c>
      <c r="F626" s="1" t="s">
        <v>1254</v>
      </c>
      <c r="G626" s="1" t="s">
        <v>31</v>
      </c>
      <c r="H626" s="1">
        <v>5</v>
      </c>
      <c r="I626" s="1">
        <v>246.47</v>
      </c>
      <c r="J626" s="1">
        <v>5</v>
      </c>
      <c r="K626" s="1">
        <v>1170.73</v>
      </c>
      <c r="L626" s="1">
        <v>364.43</v>
      </c>
      <c r="M626" s="1">
        <v>30</v>
      </c>
      <c r="N626" s="1" t="s">
        <v>19</v>
      </c>
      <c r="O626" s="1" t="s">
        <v>20</v>
      </c>
    </row>
    <row r="627" spans="1:15" x14ac:dyDescent="0.25">
      <c r="A627" s="1">
        <v>100491</v>
      </c>
      <c r="B627" s="2">
        <v>45582</v>
      </c>
      <c r="C627" s="1" t="s">
        <v>671</v>
      </c>
      <c r="D627" s="1" t="s">
        <v>53</v>
      </c>
      <c r="E627" s="1" t="s">
        <v>30</v>
      </c>
      <c r="F627" s="1" t="s">
        <v>1240</v>
      </c>
      <c r="G627" s="1" t="s">
        <v>31</v>
      </c>
      <c r="H627" s="1">
        <v>5</v>
      </c>
      <c r="I627" s="1">
        <v>24.56</v>
      </c>
      <c r="J627" s="1">
        <v>5</v>
      </c>
      <c r="K627" s="1">
        <v>116.66</v>
      </c>
      <c r="L627" s="1">
        <v>47.27</v>
      </c>
      <c r="M627" s="1">
        <v>42</v>
      </c>
      <c r="N627" s="1" t="s">
        <v>19</v>
      </c>
      <c r="O627" s="1" t="s">
        <v>20</v>
      </c>
    </row>
    <row r="628" spans="1:15" x14ac:dyDescent="0.2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x14ac:dyDescent="0.2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x14ac:dyDescent="0.2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x14ac:dyDescent="0.2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x14ac:dyDescent="0.25">
      <c r="A632" s="1">
        <v>100214</v>
      </c>
      <c r="B632" s="2">
        <v>45251</v>
      </c>
      <c r="C632" s="1" t="s">
        <v>676</v>
      </c>
      <c r="D632" s="1" t="s">
        <v>53</v>
      </c>
      <c r="E632" s="1" t="s">
        <v>30</v>
      </c>
      <c r="F632" s="1" t="s">
        <v>1239</v>
      </c>
      <c r="G632" s="1" t="s">
        <v>31</v>
      </c>
      <c r="H632" s="1">
        <v>2</v>
      </c>
      <c r="I632" s="1">
        <v>22.53</v>
      </c>
      <c r="J632" s="1">
        <v>5</v>
      </c>
      <c r="K632" s="1">
        <v>42.81</v>
      </c>
      <c r="L632" s="1">
        <v>11.87</v>
      </c>
      <c r="M632" s="1">
        <v>29</v>
      </c>
      <c r="N632" s="1" t="s">
        <v>26</v>
      </c>
      <c r="O632" s="1" t="s">
        <v>27</v>
      </c>
    </row>
    <row r="633" spans="1:15" x14ac:dyDescent="0.25">
      <c r="A633" s="1">
        <v>100946</v>
      </c>
      <c r="B633" s="2">
        <v>45794</v>
      </c>
      <c r="C633" s="1" t="s">
        <v>677</v>
      </c>
      <c r="D633" s="1" t="s">
        <v>66</v>
      </c>
      <c r="E633" s="1" t="s">
        <v>17</v>
      </c>
      <c r="F633" s="1" t="s">
        <v>1240</v>
      </c>
      <c r="G633" s="1" t="s">
        <v>18</v>
      </c>
      <c r="H633" s="1">
        <v>4</v>
      </c>
      <c r="I633" s="1">
        <v>124.12</v>
      </c>
      <c r="J633" s="1">
        <v>5</v>
      </c>
      <c r="K633" s="1">
        <v>471.66</v>
      </c>
      <c r="L633" s="1">
        <v>155.6</v>
      </c>
      <c r="M633" s="1">
        <v>27</v>
      </c>
      <c r="N633" s="1" t="s">
        <v>19</v>
      </c>
      <c r="O633" s="1" t="s">
        <v>51</v>
      </c>
    </row>
    <row r="634" spans="1:15" x14ac:dyDescent="0.2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x14ac:dyDescent="0.25">
      <c r="A635" s="1">
        <v>101155</v>
      </c>
      <c r="B635" s="2">
        <v>45908</v>
      </c>
      <c r="C635" s="1" t="s">
        <v>679</v>
      </c>
      <c r="D635" s="1" t="s">
        <v>87</v>
      </c>
      <c r="E635" s="1" t="s">
        <v>25</v>
      </c>
      <c r="F635" s="1" t="s">
        <v>1240</v>
      </c>
      <c r="G635" s="1" t="s">
        <v>18</v>
      </c>
      <c r="H635" s="1">
        <v>2</v>
      </c>
      <c r="I635" s="1">
        <v>78.760000000000005</v>
      </c>
      <c r="J635" s="1">
        <v>20</v>
      </c>
      <c r="K635" s="1">
        <v>126.02</v>
      </c>
      <c r="L635" s="1">
        <v>38.71</v>
      </c>
      <c r="M635" s="1">
        <v>36</v>
      </c>
      <c r="N635" s="1" t="s">
        <v>26</v>
      </c>
      <c r="O635" s="1" t="s">
        <v>27</v>
      </c>
    </row>
    <row r="636" spans="1:15" x14ac:dyDescent="0.2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x14ac:dyDescent="0.2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x14ac:dyDescent="0.2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x14ac:dyDescent="0.25">
      <c r="A639" s="1">
        <v>100041</v>
      </c>
      <c r="B639" s="2">
        <v>45812</v>
      </c>
      <c r="C639" s="1" t="s">
        <v>683</v>
      </c>
      <c r="D639" s="1" t="s">
        <v>24</v>
      </c>
      <c r="E639" s="1" t="s">
        <v>25</v>
      </c>
      <c r="F639" s="1" t="s">
        <v>1240</v>
      </c>
      <c r="G639" s="1" t="s">
        <v>31</v>
      </c>
      <c r="H639" s="1">
        <v>1</v>
      </c>
      <c r="I639" s="1">
        <v>103.28</v>
      </c>
      <c r="J639" s="1">
        <v>0</v>
      </c>
      <c r="K639" s="1">
        <v>103.28</v>
      </c>
      <c r="L639" s="1">
        <v>39.04</v>
      </c>
      <c r="M639" s="1">
        <v>31</v>
      </c>
      <c r="N639" s="1" t="s">
        <v>26</v>
      </c>
      <c r="O639" s="1" t="s">
        <v>43</v>
      </c>
    </row>
    <row r="640" spans="1:15" x14ac:dyDescent="0.2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x14ac:dyDescent="0.25">
      <c r="A641" s="1">
        <v>100848</v>
      </c>
      <c r="B641" s="2">
        <v>45424</v>
      </c>
      <c r="C641" s="1" t="s">
        <v>685</v>
      </c>
      <c r="D641" s="1" t="s">
        <v>39</v>
      </c>
      <c r="E641" s="1" t="s">
        <v>25</v>
      </c>
      <c r="F641" s="1" t="s">
        <v>1240</v>
      </c>
      <c r="G641" s="1" t="s">
        <v>31</v>
      </c>
      <c r="H641" s="1">
        <v>5</v>
      </c>
      <c r="I641" s="1">
        <v>199.39</v>
      </c>
      <c r="J641" s="1">
        <v>0</v>
      </c>
      <c r="K641" s="1">
        <v>996.95</v>
      </c>
      <c r="L641" s="1">
        <v>236.22</v>
      </c>
      <c r="M641" s="1">
        <v>29</v>
      </c>
      <c r="N641" s="1" t="s">
        <v>26</v>
      </c>
      <c r="O641" s="1" t="s">
        <v>20</v>
      </c>
    </row>
    <row r="642" spans="1:15" x14ac:dyDescent="0.2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x14ac:dyDescent="0.25">
      <c r="A643" s="1">
        <v>100650</v>
      </c>
      <c r="B643" s="2">
        <v>45315</v>
      </c>
      <c r="C643" s="1" t="s">
        <v>687</v>
      </c>
      <c r="D643" s="1" t="s">
        <v>62</v>
      </c>
      <c r="E643" s="1" t="s">
        <v>17</v>
      </c>
      <c r="F643" s="1" t="s">
        <v>1240</v>
      </c>
      <c r="G643" s="1" t="s">
        <v>48</v>
      </c>
      <c r="H643" s="1">
        <v>1</v>
      </c>
      <c r="I643" s="1">
        <v>138.97999999999999</v>
      </c>
      <c r="J643" s="1">
        <v>5</v>
      </c>
      <c r="K643" s="1">
        <v>132.03</v>
      </c>
      <c r="L643" s="1">
        <v>36.33</v>
      </c>
      <c r="M643" s="1">
        <v>16</v>
      </c>
      <c r="N643" s="1" t="s">
        <v>26</v>
      </c>
      <c r="O643" s="1" t="s">
        <v>46</v>
      </c>
    </row>
    <row r="644" spans="1:15" x14ac:dyDescent="0.25">
      <c r="A644" s="1">
        <v>101000</v>
      </c>
      <c r="B644" s="2">
        <v>45809</v>
      </c>
      <c r="C644" s="1" t="s">
        <v>688</v>
      </c>
      <c r="D644" s="1" t="s">
        <v>100</v>
      </c>
      <c r="E644" s="1" t="s">
        <v>25</v>
      </c>
      <c r="F644" s="1" t="s">
        <v>1240</v>
      </c>
      <c r="G644" s="1" t="s">
        <v>18</v>
      </c>
      <c r="H644" s="1">
        <v>3</v>
      </c>
      <c r="I644" s="1">
        <v>127.38</v>
      </c>
      <c r="J644" s="1">
        <v>0</v>
      </c>
      <c r="K644" s="1">
        <v>382.14</v>
      </c>
      <c r="L644" s="1">
        <v>91.64</v>
      </c>
      <c r="M644" s="1">
        <v>27</v>
      </c>
      <c r="N644" s="1" t="s">
        <v>26</v>
      </c>
      <c r="O644" s="1" t="s">
        <v>81</v>
      </c>
    </row>
    <row r="645" spans="1:15" x14ac:dyDescent="0.2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x14ac:dyDescent="0.2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x14ac:dyDescent="0.25">
      <c r="A647" s="1">
        <v>100468</v>
      </c>
      <c r="B647" s="2">
        <v>45383</v>
      </c>
      <c r="C647" s="1" t="s">
        <v>691</v>
      </c>
      <c r="D647" s="1" t="s">
        <v>42</v>
      </c>
      <c r="E647" s="1" t="s">
        <v>25</v>
      </c>
      <c r="F647" s="1" t="s">
        <v>1239</v>
      </c>
      <c r="G647" s="1" t="s">
        <v>31</v>
      </c>
      <c r="H647" s="1">
        <v>2</v>
      </c>
      <c r="I647" s="1">
        <v>143.91999999999999</v>
      </c>
      <c r="J647" s="1">
        <v>20</v>
      </c>
      <c r="K647" s="1">
        <v>230.27</v>
      </c>
      <c r="L647" s="1">
        <v>78.44</v>
      </c>
      <c r="M647" s="1">
        <v>36</v>
      </c>
      <c r="N647" s="1" t="s">
        <v>19</v>
      </c>
      <c r="O647" s="1" t="s">
        <v>46</v>
      </c>
    </row>
    <row r="648" spans="1:15" x14ac:dyDescent="0.25">
      <c r="A648" s="1">
        <v>100024</v>
      </c>
      <c r="B648" s="2">
        <v>45919</v>
      </c>
      <c r="C648" s="1" t="s">
        <v>692</v>
      </c>
      <c r="D648" s="1" t="s">
        <v>24</v>
      </c>
      <c r="E648" s="1" t="s">
        <v>25</v>
      </c>
      <c r="F648" s="1" t="s">
        <v>1254</v>
      </c>
      <c r="G648" s="1" t="s">
        <v>18</v>
      </c>
      <c r="H648" s="1">
        <v>3</v>
      </c>
      <c r="I648" s="1">
        <v>88.31</v>
      </c>
      <c r="J648" s="1">
        <v>0</v>
      </c>
      <c r="K648" s="1">
        <v>264.93</v>
      </c>
      <c r="L648" s="1">
        <v>80.5</v>
      </c>
      <c r="M648" s="1">
        <v>30</v>
      </c>
      <c r="N648" s="1" t="s">
        <v>26</v>
      </c>
      <c r="O648" s="1" t="s">
        <v>51</v>
      </c>
    </row>
    <row r="649" spans="1:15" x14ac:dyDescent="0.2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x14ac:dyDescent="0.2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x14ac:dyDescent="0.25">
      <c r="A651" s="1">
        <v>100752</v>
      </c>
      <c r="B651" s="2">
        <v>45533</v>
      </c>
      <c r="C651" s="1" t="s">
        <v>695</v>
      </c>
      <c r="D651" s="1" t="s">
        <v>24</v>
      </c>
      <c r="E651" s="1" t="s">
        <v>25</v>
      </c>
      <c r="F651" s="1" t="s">
        <v>1240</v>
      </c>
      <c r="G651" s="1" t="s">
        <v>18</v>
      </c>
      <c r="H651" s="1">
        <v>1</v>
      </c>
      <c r="I651" s="1">
        <v>91.04</v>
      </c>
      <c r="J651" s="1">
        <v>0</v>
      </c>
      <c r="K651" s="1">
        <v>91.04</v>
      </c>
      <c r="L651" s="1">
        <v>20.12</v>
      </c>
      <c r="M651" s="1">
        <v>47</v>
      </c>
      <c r="N651" s="1" t="s">
        <v>26</v>
      </c>
      <c r="O651" s="1" t="s">
        <v>81</v>
      </c>
    </row>
    <row r="652" spans="1:15" x14ac:dyDescent="0.25">
      <c r="A652" s="1">
        <v>100993</v>
      </c>
      <c r="B652" s="2">
        <v>45622</v>
      </c>
      <c r="C652" s="1" t="s">
        <v>696</v>
      </c>
      <c r="D652" s="1" t="s">
        <v>42</v>
      </c>
      <c r="E652" s="1" t="s">
        <v>25</v>
      </c>
      <c r="F652" s="1" t="s">
        <v>1240</v>
      </c>
      <c r="G652" s="1" t="s">
        <v>64</v>
      </c>
      <c r="H652" s="1">
        <v>3</v>
      </c>
      <c r="I652" s="1">
        <v>155.56</v>
      </c>
      <c r="J652" s="1">
        <v>0</v>
      </c>
      <c r="K652" s="1">
        <v>466.68</v>
      </c>
      <c r="L652" s="1">
        <v>133.65</v>
      </c>
      <c r="M652" s="1">
        <v>39</v>
      </c>
      <c r="N652" s="1" t="s">
        <v>26</v>
      </c>
      <c r="O652" s="1" t="s">
        <v>81</v>
      </c>
    </row>
    <row r="653" spans="1:15" x14ac:dyDescent="0.2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x14ac:dyDescent="0.25">
      <c r="A654" s="1">
        <v>100839</v>
      </c>
      <c r="B654" s="2">
        <v>45670</v>
      </c>
      <c r="C654" s="1" t="s">
        <v>698</v>
      </c>
      <c r="D654" s="1" t="s">
        <v>34</v>
      </c>
      <c r="E654" s="1" t="s">
        <v>30</v>
      </c>
      <c r="F654" s="1" t="s">
        <v>1240</v>
      </c>
      <c r="G654" s="1" t="s">
        <v>18</v>
      </c>
      <c r="H654" s="1">
        <v>3</v>
      </c>
      <c r="I654" s="1">
        <v>62.16</v>
      </c>
      <c r="J654" s="1">
        <v>0</v>
      </c>
      <c r="K654" s="1">
        <v>186.48</v>
      </c>
      <c r="L654" s="1">
        <v>45.95</v>
      </c>
      <c r="M654" s="1">
        <v>32</v>
      </c>
      <c r="N654" s="1" t="s">
        <v>26</v>
      </c>
      <c r="O654" s="1" t="s">
        <v>43</v>
      </c>
    </row>
    <row r="655" spans="1:15" x14ac:dyDescent="0.2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x14ac:dyDescent="0.25">
      <c r="A656" s="1">
        <v>100383</v>
      </c>
      <c r="B656" s="2">
        <v>45104</v>
      </c>
      <c r="C656" s="1" t="s">
        <v>700</v>
      </c>
      <c r="D656" s="1" t="s">
        <v>73</v>
      </c>
      <c r="E656" s="1" t="s">
        <v>25</v>
      </c>
      <c r="F656" s="1" t="s">
        <v>1240</v>
      </c>
      <c r="G656" s="1" t="s">
        <v>18</v>
      </c>
      <c r="H656" s="1">
        <v>3</v>
      </c>
      <c r="I656" s="1">
        <v>37.49</v>
      </c>
      <c r="J656" s="1">
        <v>0</v>
      </c>
      <c r="K656" s="1">
        <v>112.47</v>
      </c>
      <c r="L656" s="1">
        <v>30.79</v>
      </c>
      <c r="M656" s="1">
        <v>31</v>
      </c>
      <c r="N656" s="1" t="s">
        <v>26</v>
      </c>
      <c r="O656" s="1" t="s">
        <v>81</v>
      </c>
    </row>
    <row r="657" spans="1:15" x14ac:dyDescent="0.2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x14ac:dyDescent="0.2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x14ac:dyDescent="0.25">
      <c r="A659" s="1">
        <v>100760</v>
      </c>
      <c r="B659" s="2">
        <v>45300</v>
      </c>
      <c r="C659" s="1" t="s">
        <v>703</v>
      </c>
      <c r="D659" s="1" t="s">
        <v>29</v>
      </c>
      <c r="E659" s="1" t="s">
        <v>30</v>
      </c>
      <c r="F659" s="1" t="s">
        <v>1240</v>
      </c>
      <c r="G659" s="1" t="s">
        <v>31</v>
      </c>
      <c r="H659" s="1">
        <v>2</v>
      </c>
      <c r="I659" s="1">
        <v>19.100000000000001</v>
      </c>
      <c r="J659" s="1">
        <v>10</v>
      </c>
      <c r="K659" s="1">
        <v>34.380000000000003</v>
      </c>
      <c r="L659" s="1">
        <v>14.06</v>
      </c>
      <c r="M659" s="1">
        <v>28</v>
      </c>
      <c r="N659" s="1" t="s">
        <v>26</v>
      </c>
      <c r="O659" s="1" t="s">
        <v>32</v>
      </c>
    </row>
    <row r="660" spans="1:15" x14ac:dyDescent="0.25">
      <c r="A660" s="1">
        <v>100979</v>
      </c>
      <c r="B660" s="2">
        <v>45901</v>
      </c>
      <c r="C660" s="1" t="s">
        <v>704</v>
      </c>
      <c r="D660" s="1" t="s">
        <v>87</v>
      </c>
      <c r="E660" s="1" t="s">
        <v>25</v>
      </c>
      <c r="F660" s="1" t="s">
        <v>1254</v>
      </c>
      <c r="G660" s="1" t="s">
        <v>31</v>
      </c>
      <c r="H660" s="1">
        <v>4</v>
      </c>
      <c r="I660" s="1">
        <v>91.51</v>
      </c>
      <c r="J660" s="1">
        <v>0</v>
      </c>
      <c r="K660" s="1">
        <v>366.04</v>
      </c>
      <c r="L660" s="1">
        <v>115.45</v>
      </c>
      <c r="M660" s="1">
        <v>46</v>
      </c>
      <c r="N660" s="1" t="s">
        <v>26</v>
      </c>
      <c r="O660" s="1" t="s">
        <v>43</v>
      </c>
    </row>
    <row r="661" spans="1:15" x14ac:dyDescent="0.25">
      <c r="A661" s="1">
        <v>100444</v>
      </c>
      <c r="B661" s="2">
        <v>45404</v>
      </c>
      <c r="C661" s="1" t="s">
        <v>705</v>
      </c>
      <c r="D661" s="1" t="s">
        <v>68</v>
      </c>
      <c r="E661" s="1" t="s">
        <v>25</v>
      </c>
      <c r="F661" s="1" t="s">
        <v>1254</v>
      </c>
      <c r="G661" s="1" t="s">
        <v>31</v>
      </c>
      <c r="H661" s="1">
        <v>1</v>
      </c>
      <c r="I661" s="1">
        <v>200.35</v>
      </c>
      <c r="J661" s="1">
        <v>10</v>
      </c>
      <c r="K661" s="1">
        <v>180.31</v>
      </c>
      <c r="L661" s="1">
        <v>65.23</v>
      </c>
      <c r="M661" s="1">
        <v>34</v>
      </c>
      <c r="N661" s="1" t="s">
        <v>19</v>
      </c>
      <c r="O661" s="1" t="s">
        <v>20</v>
      </c>
    </row>
    <row r="662" spans="1:15" x14ac:dyDescent="0.25">
      <c r="A662" s="1">
        <v>100395</v>
      </c>
      <c r="B662" s="2">
        <v>45792</v>
      </c>
      <c r="C662" s="1" t="s">
        <v>706</v>
      </c>
      <c r="D662" s="1" t="s">
        <v>42</v>
      </c>
      <c r="E662" s="1" t="s">
        <v>25</v>
      </c>
      <c r="F662" s="1" t="s">
        <v>1254</v>
      </c>
      <c r="G662" s="1" t="s">
        <v>18</v>
      </c>
      <c r="H662" s="1">
        <v>2</v>
      </c>
      <c r="I662" s="1">
        <v>167.72</v>
      </c>
      <c r="J662" s="1">
        <v>0</v>
      </c>
      <c r="K662" s="1">
        <v>335.44</v>
      </c>
      <c r="L662" s="1">
        <v>101.32</v>
      </c>
      <c r="M662" s="1">
        <v>21</v>
      </c>
      <c r="N662" s="1" t="s">
        <v>26</v>
      </c>
      <c r="O662" s="1" t="s">
        <v>35</v>
      </c>
    </row>
    <row r="663" spans="1:15" x14ac:dyDescent="0.2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x14ac:dyDescent="0.25">
      <c r="A664" s="1">
        <v>100176</v>
      </c>
      <c r="B664" s="2">
        <v>45698</v>
      </c>
      <c r="C664" s="1" t="s">
        <v>708</v>
      </c>
      <c r="D664" s="1" t="s">
        <v>73</v>
      </c>
      <c r="E664" s="1" t="s">
        <v>25</v>
      </c>
      <c r="F664" s="1" t="s">
        <v>1254</v>
      </c>
      <c r="G664" s="1" t="s">
        <v>18</v>
      </c>
      <c r="H664" s="1">
        <v>3</v>
      </c>
      <c r="I664" s="1">
        <v>33.450000000000003</v>
      </c>
      <c r="J664" s="1">
        <v>5</v>
      </c>
      <c r="K664" s="1">
        <v>95.33</v>
      </c>
      <c r="L664" s="1">
        <v>37.57</v>
      </c>
      <c r="M664" s="1">
        <v>20</v>
      </c>
      <c r="N664" s="1" t="s">
        <v>19</v>
      </c>
      <c r="O664" s="1" t="s">
        <v>20</v>
      </c>
    </row>
    <row r="665" spans="1:15" x14ac:dyDescent="0.2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x14ac:dyDescent="0.25">
      <c r="A666" s="1">
        <v>100948</v>
      </c>
      <c r="B666" s="2">
        <v>45887</v>
      </c>
      <c r="C666" s="1" t="s">
        <v>710</v>
      </c>
      <c r="D666" s="1" t="s">
        <v>73</v>
      </c>
      <c r="E666" s="1" t="s">
        <v>25</v>
      </c>
      <c r="F666" s="1" t="s">
        <v>1240</v>
      </c>
      <c r="G666" s="1" t="s">
        <v>31</v>
      </c>
      <c r="H666" s="1">
        <v>4</v>
      </c>
      <c r="I666" s="1">
        <v>31.44</v>
      </c>
      <c r="J666" s="1">
        <v>10</v>
      </c>
      <c r="K666" s="1">
        <v>113.18</v>
      </c>
      <c r="L666" s="1">
        <v>31.47</v>
      </c>
      <c r="M666" s="1">
        <v>32</v>
      </c>
      <c r="N666" s="1" t="s">
        <v>19</v>
      </c>
      <c r="O666" s="1" t="s">
        <v>51</v>
      </c>
    </row>
    <row r="667" spans="1:15" x14ac:dyDescent="0.2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x14ac:dyDescent="0.2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x14ac:dyDescent="0.2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x14ac:dyDescent="0.25">
      <c r="A670" s="1">
        <v>100272</v>
      </c>
      <c r="B670" s="2">
        <v>45358</v>
      </c>
      <c r="C670" s="1" t="s">
        <v>714</v>
      </c>
      <c r="D670" s="1" t="s">
        <v>16</v>
      </c>
      <c r="E670" s="1" t="s">
        <v>17</v>
      </c>
      <c r="F670" s="1" t="s">
        <v>1240</v>
      </c>
      <c r="G670" s="1" t="s">
        <v>18</v>
      </c>
      <c r="H670" s="1">
        <v>5</v>
      </c>
      <c r="I670" s="1">
        <v>53.91</v>
      </c>
      <c r="J670" s="1">
        <v>5</v>
      </c>
      <c r="K670" s="1">
        <v>256.07</v>
      </c>
      <c r="L670" s="1">
        <v>96.4</v>
      </c>
      <c r="M670" s="1">
        <v>32</v>
      </c>
      <c r="N670" s="1" t="s">
        <v>26</v>
      </c>
      <c r="O670" s="1" t="s">
        <v>46</v>
      </c>
    </row>
    <row r="671" spans="1:15" x14ac:dyDescent="0.2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x14ac:dyDescent="0.2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x14ac:dyDescent="0.2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x14ac:dyDescent="0.25">
      <c r="A674" s="1">
        <v>100368</v>
      </c>
      <c r="B674" s="2">
        <v>45927</v>
      </c>
      <c r="C674" s="1" t="s">
        <v>718</v>
      </c>
      <c r="D674" s="1" t="s">
        <v>24</v>
      </c>
      <c r="E674" s="1" t="s">
        <v>25</v>
      </c>
      <c r="F674" s="1" t="s">
        <v>1240</v>
      </c>
      <c r="G674" s="1" t="s">
        <v>31</v>
      </c>
      <c r="H674" s="1">
        <v>4</v>
      </c>
      <c r="I674" s="1">
        <v>90.47</v>
      </c>
      <c r="J674" s="1">
        <v>5</v>
      </c>
      <c r="K674" s="1">
        <v>343.79</v>
      </c>
      <c r="L674" s="1">
        <v>126.76</v>
      </c>
      <c r="M674" s="1">
        <v>29</v>
      </c>
      <c r="N674" s="1" t="s">
        <v>26</v>
      </c>
      <c r="O674" s="1" t="s">
        <v>20</v>
      </c>
    </row>
    <row r="675" spans="1:15" x14ac:dyDescent="0.2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x14ac:dyDescent="0.2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x14ac:dyDescent="0.25">
      <c r="A677" s="1">
        <v>100859</v>
      </c>
      <c r="B677" s="2">
        <v>45232</v>
      </c>
      <c r="C677" s="1" t="s">
        <v>721</v>
      </c>
      <c r="D677" s="1" t="s">
        <v>62</v>
      </c>
      <c r="E677" s="1" t="s">
        <v>17</v>
      </c>
      <c r="F677" s="1" t="s">
        <v>1240</v>
      </c>
      <c r="G677" s="1" t="s">
        <v>48</v>
      </c>
      <c r="H677" s="1">
        <v>1</v>
      </c>
      <c r="I677" s="1">
        <v>149.31</v>
      </c>
      <c r="J677" s="1">
        <v>10</v>
      </c>
      <c r="K677" s="1">
        <v>134.38</v>
      </c>
      <c r="L677" s="1">
        <v>43.48</v>
      </c>
      <c r="M677" s="1">
        <v>31</v>
      </c>
      <c r="N677" s="1" t="s">
        <v>26</v>
      </c>
      <c r="O677" s="1" t="s">
        <v>27</v>
      </c>
    </row>
    <row r="678" spans="1:15" x14ac:dyDescent="0.2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x14ac:dyDescent="0.2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x14ac:dyDescent="0.25">
      <c r="A680" s="1">
        <v>100547</v>
      </c>
      <c r="B680" s="2">
        <v>45598</v>
      </c>
      <c r="C680" s="1" t="s">
        <v>724</v>
      </c>
      <c r="D680" s="1" t="s">
        <v>53</v>
      </c>
      <c r="E680" s="1" t="s">
        <v>30</v>
      </c>
      <c r="F680" s="1" t="s">
        <v>1254</v>
      </c>
      <c r="G680" s="1" t="s">
        <v>31</v>
      </c>
      <c r="H680" s="1">
        <v>2</v>
      </c>
      <c r="I680" s="1">
        <v>20.27</v>
      </c>
      <c r="J680" s="1">
        <v>0</v>
      </c>
      <c r="K680" s="1">
        <v>40.54</v>
      </c>
      <c r="L680" s="1">
        <v>16.190000000000001</v>
      </c>
      <c r="M680" s="1">
        <v>38</v>
      </c>
      <c r="N680" s="1" t="s">
        <v>19</v>
      </c>
      <c r="O680" s="1" t="s">
        <v>43</v>
      </c>
    </row>
    <row r="681" spans="1:15" x14ac:dyDescent="0.2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x14ac:dyDescent="0.2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x14ac:dyDescent="0.25">
      <c r="A683" s="1">
        <v>100456</v>
      </c>
      <c r="B683" s="2">
        <v>45620</v>
      </c>
      <c r="C683" s="1" t="s">
        <v>727</v>
      </c>
      <c r="D683" s="1" t="s">
        <v>59</v>
      </c>
      <c r="E683" s="1" t="s">
        <v>17</v>
      </c>
      <c r="F683" s="1" t="s">
        <v>1240</v>
      </c>
      <c r="G683" s="1" t="s">
        <v>48</v>
      </c>
      <c r="H683" s="1">
        <v>3</v>
      </c>
      <c r="I683" s="1">
        <v>31.37</v>
      </c>
      <c r="J683" s="1">
        <v>0</v>
      </c>
      <c r="K683" s="1">
        <v>94.11</v>
      </c>
      <c r="L683" s="1">
        <v>26</v>
      </c>
      <c r="M683" s="1">
        <v>23</v>
      </c>
      <c r="N683" s="1" t="s">
        <v>26</v>
      </c>
      <c r="O683" s="1" t="s">
        <v>81</v>
      </c>
    </row>
    <row r="684" spans="1:15" x14ac:dyDescent="0.25">
      <c r="A684" s="1">
        <v>100393</v>
      </c>
      <c r="B684" s="2">
        <v>45598</v>
      </c>
      <c r="C684" s="1" t="s">
        <v>728</v>
      </c>
      <c r="D684" s="1" t="s">
        <v>53</v>
      </c>
      <c r="E684" s="1" t="s">
        <v>30</v>
      </c>
      <c r="F684" s="1" t="s">
        <v>1240</v>
      </c>
      <c r="G684" s="1" t="s">
        <v>18</v>
      </c>
      <c r="H684" s="1">
        <v>3</v>
      </c>
      <c r="I684" s="1">
        <v>22.64</v>
      </c>
      <c r="J684" s="1">
        <v>0</v>
      </c>
      <c r="K684" s="1">
        <v>67.92</v>
      </c>
      <c r="L684" s="1">
        <v>24.2</v>
      </c>
      <c r="M684" s="1">
        <v>22</v>
      </c>
      <c r="N684" s="1" t="s">
        <v>26</v>
      </c>
      <c r="O684" s="1" t="s">
        <v>81</v>
      </c>
    </row>
    <row r="685" spans="1:15" x14ac:dyDescent="0.25">
      <c r="A685" s="1">
        <v>100675</v>
      </c>
      <c r="B685" s="2">
        <v>45827</v>
      </c>
      <c r="C685" s="1" t="s">
        <v>729</v>
      </c>
      <c r="D685" s="1" t="s">
        <v>53</v>
      </c>
      <c r="E685" s="1" t="s">
        <v>30</v>
      </c>
      <c r="F685" s="1" t="s">
        <v>1240</v>
      </c>
      <c r="G685" s="1" t="s">
        <v>64</v>
      </c>
      <c r="H685" s="1">
        <v>4</v>
      </c>
      <c r="I685" s="1">
        <v>22.33</v>
      </c>
      <c r="J685" s="1">
        <v>10</v>
      </c>
      <c r="K685" s="1">
        <v>80.39</v>
      </c>
      <c r="L685" s="1">
        <v>25.99</v>
      </c>
      <c r="M685" s="1">
        <v>33</v>
      </c>
      <c r="N685" s="1" t="s">
        <v>19</v>
      </c>
      <c r="O685" s="1" t="s">
        <v>20</v>
      </c>
    </row>
    <row r="686" spans="1:15" x14ac:dyDescent="0.2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x14ac:dyDescent="0.25">
      <c r="A687" s="1">
        <v>100964</v>
      </c>
      <c r="B687" s="2">
        <v>45107</v>
      </c>
      <c r="C687" s="1" t="s">
        <v>731</v>
      </c>
      <c r="D687" s="1" t="s">
        <v>59</v>
      </c>
      <c r="E687" s="1" t="s">
        <v>17</v>
      </c>
      <c r="F687" s="1" t="s">
        <v>1240</v>
      </c>
      <c r="G687" s="1" t="s">
        <v>31</v>
      </c>
      <c r="H687" s="1">
        <v>5</v>
      </c>
      <c r="I687" s="1">
        <v>28.98</v>
      </c>
      <c r="J687" s="1">
        <v>20</v>
      </c>
      <c r="K687" s="1">
        <v>115.92</v>
      </c>
      <c r="L687" s="1">
        <v>39.82</v>
      </c>
      <c r="M687" s="1">
        <v>29</v>
      </c>
      <c r="N687" s="1" t="s">
        <v>26</v>
      </c>
      <c r="O687" s="1" t="s">
        <v>27</v>
      </c>
    </row>
    <row r="688" spans="1:15" x14ac:dyDescent="0.25">
      <c r="A688" s="1">
        <v>100375</v>
      </c>
      <c r="B688" s="2">
        <v>45804</v>
      </c>
      <c r="C688" s="1" t="s">
        <v>732</v>
      </c>
      <c r="D688" s="1" t="s">
        <v>22</v>
      </c>
      <c r="E688" s="1" t="s">
        <v>17</v>
      </c>
      <c r="F688" s="1" t="s">
        <v>1254</v>
      </c>
      <c r="G688" s="1" t="s">
        <v>18</v>
      </c>
      <c r="H688" s="1">
        <v>3</v>
      </c>
      <c r="I688" s="1">
        <v>24.95</v>
      </c>
      <c r="J688" s="1">
        <v>0</v>
      </c>
      <c r="K688" s="1">
        <v>74.849999999999994</v>
      </c>
      <c r="L688" s="1">
        <v>17.399999999999999</v>
      </c>
      <c r="M688" s="1">
        <v>27</v>
      </c>
      <c r="N688" s="1" t="s">
        <v>19</v>
      </c>
      <c r="O688" s="1" t="s">
        <v>32</v>
      </c>
    </row>
    <row r="689" spans="1:15" x14ac:dyDescent="0.25">
      <c r="A689" s="1">
        <v>100412</v>
      </c>
      <c r="B689" s="2">
        <v>44940</v>
      </c>
      <c r="C689" s="1" t="s">
        <v>733</v>
      </c>
      <c r="D689" s="1" t="s">
        <v>24</v>
      </c>
      <c r="E689" s="1" t="s">
        <v>25</v>
      </c>
      <c r="F689" s="1" t="s">
        <v>1254</v>
      </c>
      <c r="G689" s="1" t="s">
        <v>31</v>
      </c>
      <c r="H689" s="1">
        <v>5</v>
      </c>
      <c r="I689" s="1">
        <v>91.74</v>
      </c>
      <c r="J689" s="1">
        <v>0</v>
      </c>
      <c r="K689" s="1">
        <v>458.7</v>
      </c>
      <c r="L689" s="1">
        <v>151.11000000000001</v>
      </c>
      <c r="M689" s="1">
        <v>30</v>
      </c>
      <c r="N689" s="1" t="s">
        <v>26</v>
      </c>
      <c r="O689" s="1" t="s">
        <v>27</v>
      </c>
    </row>
    <row r="690" spans="1:15" x14ac:dyDescent="0.2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x14ac:dyDescent="0.2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x14ac:dyDescent="0.25">
      <c r="A692" s="1">
        <v>100862</v>
      </c>
      <c r="B692" s="2">
        <v>45179</v>
      </c>
      <c r="C692" s="1" t="s">
        <v>736</v>
      </c>
      <c r="D692" s="1" t="s">
        <v>45</v>
      </c>
      <c r="E692" s="1" t="s">
        <v>30</v>
      </c>
      <c r="F692" s="1" t="s">
        <v>1240</v>
      </c>
      <c r="G692" s="1" t="s">
        <v>31</v>
      </c>
      <c r="H692" s="1">
        <v>6</v>
      </c>
      <c r="I692" s="1">
        <v>14.99</v>
      </c>
      <c r="J692" s="1">
        <v>0</v>
      </c>
      <c r="K692" s="1">
        <v>89.94</v>
      </c>
      <c r="L692" s="1">
        <v>30.68</v>
      </c>
      <c r="M692" s="1">
        <v>43</v>
      </c>
      <c r="N692" s="1" t="s">
        <v>26</v>
      </c>
      <c r="O692" s="1" t="s">
        <v>51</v>
      </c>
    </row>
    <row r="693" spans="1:15" x14ac:dyDescent="0.2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x14ac:dyDescent="0.2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x14ac:dyDescent="0.2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x14ac:dyDescent="0.2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x14ac:dyDescent="0.2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x14ac:dyDescent="0.2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x14ac:dyDescent="0.25">
      <c r="A699" s="1">
        <v>100604</v>
      </c>
      <c r="B699" s="2">
        <v>45567</v>
      </c>
      <c r="C699" s="1" t="s">
        <v>742</v>
      </c>
      <c r="D699" s="1" t="s">
        <v>87</v>
      </c>
      <c r="E699" s="1" t="s">
        <v>25</v>
      </c>
      <c r="F699" s="1" t="s">
        <v>1240</v>
      </c>
      <c r="G699" s="1" t="s">
        <v>31</v>
      </c>
      <c r="H699" s="1">
        <v>4</v>
      </c>
      <c r="I699" s="1">
        <v>83.05</v>
      </c>
      <c r="J699" s="1">
        <v>0</v>
      </c>
      <c r="K699" s="1">
        <v>332.2</v>
      </c>
      <c r="L699" s="1">
        <v>64.53</v>
      </c>
      <c r="M699" s="1">
        <v>28</v>
      </c>
      <c r="N699" s="1" t="s">
        <v>26</v>
      </c>
      <c r="O699" s="1" t="s">
        <v>81</v>
      </c>
    </row>
    <row r="700" spans="1:15" x14ac:dyDescent="0.2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x14ac:dyDescent="0.2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x14ac:dyDescent="0.2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x14ac:dyDescent="0.2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x14ac:dyDescent="0.25">
      <c r="A704" s="1">
        <v>100926</v>
      </c>
      <c r="B704" s="2">
        <v>45642</v>
      </c>
      <c r="C704" s="1" t="s">
        <v>747</v>
      </c>
      <c r="D704" s="1" t="s">
        <v>70</v>
      </c>
      <c r="E704" s="1" t="s">
        <v>25</v>
      </c>
      <c r="F704" s="1" t="s">
        <v>1254</v>
      </c>
      <c r="G704" s="1" t="s">
        <v>18</v>
      </c>
      <c r="H704" s="1">
        <v>3</v>
      </c>
      <c r="I704" s="1">
        <v>161.79</v>
      </c>
      <c r="J704" s="1">
        <v>20</v>
      </c>
      <c r="K704" s="1">
        <v>388.3</v>
      </c>
      <c r="L704" s="1">
        <v>89.31</v>
      </c>
      <c r="M704" s="1">
        <v>47</v>
      </c>
      <c r="N704" s="1" t="s">
        <v>19</v>
      </c>
      <c r="O704" s="1" t="s">
        <v>20</v>
      </c>
    </row>
    <row r="705" spans="1:15" x14ac:dyDescent="0.25">
      <c r="A705" s="1">
        <v>100998</v>
      </c>
      <c r="B705" s="2">
        <v>45028</v>
      </c>
      <c r="C705" s="1" t="s">
        <v>748</v>
      </c>
      <c r="D705" s="1" t="s">
        <v>66</v>
      </c>
      <c r="E705" s="1" t="s">
        <v>17</v>
      </c>
      <c r="F705" s="1" t="s">
        <v>1254</v>
      </c>
      <c r="G705" s="1" t="s">
        <v>31</v>
      </c>
      <c r="H705" s="1">
        <v>2</v>
      </c>
      <c r="I705" s="1">
        <v>112.59</v>
      </c>
      <c r="J705" s="1">
        <v>10</v>
      </c>
      <c r="K705" s="1">
        <v>202.66</v>
      </c>
      <c r="L705" s="1">
        <v>50.69</v>
      </c>
      <c r="M705" s="1">
        <v>27</v>
      </c>
      <c r="N705" s="1" t="s">
        <v>26</v>
      </c>
      <c r="O705" s="1" t="s">
        <v>81</v>
      </c>
    </row>
    <row r="706" spans="1:15" x14ac:dyDescent="0.2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x14ac:dyDescent="0.25">
      <c r="A707" s="1">
        <v>100396</v>
      </c>
      <c r="B707" s="2">
        <v>45896</v>
      </c>
      <c r="C707" s="1" t="s">
        <v>750</v>
      </c>
      <c r="D707" s="1" t="s">
        <v>66</v>
      </c>
      <c r="E707" s="1" t="s">
        <v>17</v>
      </c>
      <c r="F707" s="1" t="s">
        <v>1240</v>
      </c>
      <c r="G707" s="1" t="s">
        <v>18</v>
      </c>
      <c r="H707" s="1">
        <v>1</v>
      </c>
      <c r="I707" s="1">
        <v>127.11</v>
      </c>
      <c r="J707" s="1">
        <v>0</v>
      </c>
      <c r="K707" s="1">
        <v>127.11</v>
      </c>
      <c r="L707" s="1">
        <v>31.68</v>
      </c>
      <c r="M707" s="1">
        <v>17</v>
      </c>
      <c r="N707" s="1" t="s">
        <v>19</v>
      </c>
      <c r="O707" s="1" t="s">
        <v>32</v>
      </c>
    </row>
    <row r="708" spans="1:15" x14ac:dyDescent="0.2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x14ac:dyDescent="0.2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x14ac:dyDescent="0.25">
      <c r="A710" s="1">
        <v>100042</v>
      </c>
      <c r="B710" s="2">
        <v>45825</v>
      </c>
      <c r="C710" s="1" t="s">
        <v>753</v>
      </c>
      <c r="D710" s="1" t="s">
        <v>22</v>
      </c>
      <c r="E710" s="1" t="s">
        <v>17</v>
      </c>
      <c r="F710" s="1" t="s">
        <v>1239</v>
      </c>
      <c r="G710" s="1" t="s">
        <v>18</v>
      </c>
      <c r="H710" s="1">
        <v>1</v>
      </c>
      <c r="I710" s="1">
        <v>26.1</v>
      </c>
      <c r="J710" s="1">
        <v>20</v>
      </c>
      <c r="K710" s="1">
        <v>20.88</v>
      </c>
      <c r="L710" s="1">
        <v>4.25</v>
      </c>
      <c r="M710" s="1">
        <v>30</v>
      </c>
      <c r="N710" s="1" t="s">
        <v>26</v>
      </c>
      <c r="O710" s="1" t="s">
        <v>32</v>
      </c>
    </row>
    <row r="711" spans="1:15" x14ac:dyDescent="0.25">
      <c r="A711" s="1">
        <v>100167</v>
      </c>
      <c r="B711" s="2">
        <v>45866</v>
      </c>
      <c r="C711" s="1" t="s">
        <v>754</v>
      </c>
      <c r="D711" s="1" t="s">
        <v>53</v>
      </c>
      <c r="E711" s="1" t="s">
        <v>30</v>
      </c>
      <c r="F711" s="1" t="s">
        <v>1240</v>
      </c>
      <c r="G711" s="1" t="s">
        <v>31</v>
      </c>
      <c r="H711" s="1">
        <v>4</v>
      </c>
      <c r="I711" s="1">
        <v>25.25</v>
      </c>
      <c r="J711" s="1">
        <v>0</v>
      </c>
      <c r="K711" s="1">
        <v>101</v>
      </c>
      <c r="L711" s="1">
        <v>39.130000000000003</v>
      </c>
      <c r="M711" s="1">
        <v>34</v>
      </c>
      <c r="N711" s="1" t="s">
        <v>26</v>
      </c>
      <c r="O711" s="1" t="s">
        <v>81</v>
      </c>
    </row>
    <row r="712" spans="1:15" x14ac:dyDescent="0.2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x14ac:dyDescent="0.25">
      <c r="A713" s="1">
        <v>100576</v>
      </c>
      <c r="B713" s="2">
        <v>45276</v>
      </c>
      <c r="C713" s="1" t="s">
        <v>756</v>
      </c>
      <c r="D713" s="1" t="s">
        <v>62</v>
      </c>
      <c r="E713" s="1" t="s">
        <v>17</v>
      </c>
      <c r="F713" s="1" t="s">
        <v>1240</v>
      </c>
      <c r="G713" s="1" t="s">
        <v>18</v>
      </c>
      <c r="H713" s="1">
        <v>3</v>
      </c>
      <c r="I713" s="1">
        <v>118.15</v>
      </c>
      <c r="J713" s="1">
        <v>0</v>
      </c>
      <c r="K713" s="1">
        <v>354.45</v>
      </c>
      <c r="L713" s="1">
        <v>102.3</v>
      </c>
      <c r="M713" s="1">
        <v>42</v>
      </c>
      <c r="N713" s="1" t="s">
        <v>19</v>
      </c>
      <c r="O713" s="1" t="s">
        <v>51</v>
      </c>
    </row>
    <row r="714" spans="1:15" x14ac:dyDescent="0.2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x14ac:dyDescent="0.2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x14ac:dyDescent="0.25">
      <c r="A716" s="1">
        <v>100426</v>
      </c>
      <c r="B716" s="2">
        <v>45299</v>
      </c>
      <c r="C716" s="1" t="s">
        <v>759</v>
      </c>
      <c r="D716" s="1" t="s">
        <v>70</v>
      </c>
      <c r="E716" s="1" t="s">
        <v>25</v>
      </c>
      <c r="F716" s="1" t="s">
        <v>1254</v>
      </c>
      <c r="G716" s="1" t="s">
        <v>18</v>
      </c>
      <c r="H716" s="1">
        <v>4</v>
      </c>
      <c r="I716" s="1">
        <v>155.24</v>
      </c>
      <c r="J716" s="1">
        <v>0</v>
      </c>
      <c r="K716" s="1">
        <v>620.96</v>
      </c>
      <c r="L716" s="1">
        <v>198.84</v>
      </c>
      <c r="M716" s="1">
        <v>16</v>
      </c>
      <c r="N716" s="1" t="s">
        <v>19</v>
      </c>
      <c r="O716" s="1" t="s">
        <v>46</v>
      </c>
    </row>
    <row r="717" spans="1:15" x14ac:dyDescent="0.2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x14ac:dyDescent="0.25">
      <c r="A718" s="1">
        <v>100544</v>
      </c>
      <c r="B718" s="2">
        <v>45711</v>
      </c>
      <c r="C718" s="1" t="s">
        <v>761</v>
      </c>
      <c r="D718" s="1" t="s">
        <v>45</v>
      </c>
      <c r="E718" s="1" t="s">
        <v>30</v>
      </c>
      <c r="F718" s="1" t="s">
        <v>1240</v>
      </c>
      <c r="G718" s="1" t="s">
        <v>18</v>
      </c>
      <c r="H718" s="1">
        <v>3</v>
      </c>
      <c r="I718" s="1">
        <v>15.82</v>
      </c>
      <c r="J718" s="1">
        <v>20</v>
      </c>
      <c r="K718" s="1">
        <v>37.97</v>
      </c>
      <c r="L718" s="1">
        <v>17.440000000000001</v>
      </c>
      <c r="M718" s="1">
        <v>42</v>
      </c>
      <c r="N718" s="1" t="s">
        <v>26</v>
      </c>
      <c r="O718" s="1" t="s">
        <v>27</v>
      </c>
    </row>
    <row r="719" spans="1:15" x14ac:dyDescent="0.25">
      <c r="A719" s="1">
        <v>101122</v>
      </c>
      <c r="B719" s="2">
        <v>45876</v>
      </c>
      <c r="C719" s="1" t="s">
        <v>762</v>
      </c>
      <c r="D719" s="1" t="s">
        <v>100</v>
      </c>
      <c r="E719" s="1" t="s">
        <v>25</v>
      </c>
      <c r="F719" s="1" t="s">
        <v>1240</v>
      </c>
      <c r="G719" s="1" t="s">
        <v>18</v>
      </c>
      <c r="H719" s="1">
        <v>2</v>
      </c>
      <c r="I719" s="1">
        <v>146.54</v>
      </c>
      <c r="J719" s="1">
        <v>10</v>
      </c>
      <c r="K719" s="1">
        <v>263.77</v>
      </c>
      <c r="L719" s="1">
        <v>71.62</v>
      </c>
      <c r="M719" s="1">
        <v>33</v>
      </c>
      <c r="N719" s="1" t="s">
        <v>26</v>
      </c>
      <c r="O719" s="1" t="s">
        <v>27</v>
      </c>
    </row>
    <row r="720" spans="1:15" x14ac:dyDescent="0.25">
      <c r="A720" s="1">
        <v>100674</v>
      </c>
      <c r="B720" s="2">
        <v>45493</v>
      </c>
      <c r="C720" s="1" t="s">
        <v>763</v>
      </c>
      <c r="D720" s="1" t="s">
        <v>42</v>
      </c>
      <c r="E720" s="1" t="s">
        <v>25</v>
      </c>
      <c r="F720" s="1" t="s">
        <v>1254</v>
      </c>
      <c r="G720" s="1" t="s">
        <v>18</v>
      </c>
      <c r="H720" s="1">
        <v>3</v>
      </c>
      <c r="I720" s="1">
        <v>170.01</v>
      </c>
      <c r="J720" s="1">
        <v>5</v>
      </c>
      <c r="K720" s="1">
        <v>484.53</v>
      </c>
      <c r="L720" s="1">
        <v>126.2</v>
      </c>
      <c r="M720" s="1">
        <v>34</v>
      </c>
      <c r="N720" s="1" t="s">
        <v>26</v>
      </c>
      <c r="O720" s="1" t="s">
        <v>32</v>
      </c>
    </row>
    <row r="721" spans="1:15" x14ac:dyDescent="0.25">
      <c r="A721" s="1">
        <v>100689</v>
      </c>
      <c r="B721" s="2">
        <v>45371</v>
      </c>
      <c r="C721" s="1" t="s">
        <v>764</v>
      </c>
      <c r="D721" s="1" t="s">
        <v>77</v>
      </c>
      <c r="E721" s="1" t="s">
        <v>30</v>
      </c>
      <c r="F721" s="1" t="s">
        <v>1254</v>
      </c>
      <c r="G721" s="1" t="s">
        <v>64</v>
      </c>
      <c r="H721" s="1">
        <v>1</v>
      </c>
      <c r="I721" s="1">
        <v>39.29</v>
      </c>
      <c r="J721" s="1">
        <v>20</v>
      </c>
      <c r="K721" s="1">
        <v>31.43</v>
      </c>
      <c r="L721" s="1">
        <v>10.53</v>
      </c>
      <c r="M721" s="1">
        <v>31</v>
      </c>
      <c r="N721" s="1" t="s">
        <v>19</v>
      </c>
      <c r="O721" s="1" t="s">
        <v>81</v>
      </c>
    </row>
    <row r="722" spans="1:15" x14ac:dyDescent="0.25">
      <c r="A722" s="1">
        <v>101054</v>
      </c>
      <c r="B722" s="2">
        <v>45510</v>
      </c>
      <c r="C722" s="1" t="s">
        <v>765</v>
      </c>
      <c r="D722" s="1" t="s">
        <v>53</v>
      </c>
      <c r="E722" s="1" t="s">
        <v>30</v>
      </c>
      <c r="F722" s="1" t="s">
        <v>1240</v>
      </c>
      <c r="G722" s="1" t="s">
        <v>18</v>
      </c>
      <c r="H722" s="1">
        <v>3</v>
      </c>
      <c r="I722" s="1">
        <v>22.27</v>
      </c>
      <c r="J722" s="1">
        <v>0</v>
      </c>
      <c r="K722" s="1">
        <v>66.81</v>
      </c>
      <c r="L722" s="1">
        <v>23.44</v>
      </c>
      <c r="M722" s="1">
        <v>40</v>
      </c>
      <c r="N722" s="1" t="s">
        <v>26</v>
      </c>
      <c r="O722" s="1" t="s">
        <v>35</v>
      </c>
    </row>
    <row r="723" spans="1:15" x14ac:dyDescent="0.2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x14ac:dyDescent="0.25">
      <c r="A724" s="1">
        <v>101032</v>
      </c>
      <c r="B724" s="2">
        <v>45706</v>
      </c>
      <c r="C724" s="1" t="s">
        <v>767</v>
      </c>
      <c r="D724" s="1" t="s">
        <v>34</v>
      </c>
      <c r="E724" s="1" t="s">
        <v>30</v>
      </c>
      <c r="F724" s="1" t="s">
        <v>1240</v>
      </c>
      <c r="G724" s="1" t="s">
        <v>31</v>
      </c>
      <c r="H724" s="1">
        <v>4</v>
      </c>
      <c r="I724" s="1">
        <v>60.65</v>
      </c>
      <c r="J724" s="1">
        <v>20</v>
      </c>
      <c r="K724" s="1">
        <v>194.08</v>
      </c>
      <c r="L724" s="1">
        <v>73.94</v>
      </c>
      <c r="M724" s="1">
        <v>34</v>
      </c>
      <c r="N724" s="1" t="s">
        <v>26</v>
      </c>
      <c r="O724" s="1" t="s">
        <v>27</v>
      </c>
    </row>
    <row r="725" spans="1:15" x14ac:dyDescent="0.25">
      <c r="A725" s="1">
        <v>101034</v>
      </c>
      <c r="B725" s="2">
        <v>45161</v>
      </c>
      <c r="C725" s="1" t="s">
        <v>768</v>
      </c>
      <c r="D725" s="1" t="s">
        <v>87</v>
      </c>
      <c r="E725" s="1" t="s">
        <v>25</v>
      </c>
      <c r="F725" s="1" t="s">
        <v>1240</v>
      </c>
      <c r="G725" s="1" t="s">
        <v>64</v>
      </c>
      <c r="H725" s="1">
        <v>2</v>
      </c>
      <c r="I725" s="1">
        <v>90.12</v>
      </c>
      <c r="J725" s="1">
        <v>10</v>
      </c>
      <c r="K725" s="1">
        <v>162.22</v>
      </c>
      <c r="L725" s="1">
        <v>43.68</v>
      </c>
      <c r="M725" s="1">
        <v>38</v>
      </c>
      <c r="N725" s="1" t="s">
        <v>19</v>
      </c>
      <c r="O725" s="1" t="s">
        <v>32</v>
      </c>
    </row>
    <row r="726" spans="1:15" x14ac:dyDescent="0.25">
      <c r="A726" s="1">
        <v>100257</v>
      </c>
      <c r="B726" s="2">
        <v>45752</v>
      </c>
      <c r="C726" s="1" t="s">
        <v>769</v>
      </c>
      <c r="D726" s="1" t="s">
        <v>42</v>
      </c>
      <c r="E726" s="1" t="s">
        <v>25</v>
      </c>
      <c r="F726" s="1" t="s">
        <v>1240</v>
      </c>
      <c r="G726" s="1" t="s">
        <v>18</v>
      </c>
      <c r="H726" s="1">
        <v>1</v>
      </c>
      <c r="I726" s="1">
        <v>126.83</v>
      </c>
      <c r="J726" s="1">
        <v>10</v>
      </c>
      <c r="K726" s="1">
        <v>114.15</v>
      </c>
      <c r="L726" s="1">
        <v>39.17</v>
      </c>
      <c r="M726" s="1">
        <v>23</v>
      </c>
      <c r="N726" s="1" t="s">
        <v>26</v>
      </c>
      <c r="O726" s="1" t="s">
        <v>20</v>
      </c>
    </row>
    <row r="727" spans="1:15" x14ac:dyDescent="0.2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x14ac:dyDescent="0.25">
      <c r="A728" s="1">
        <v>100015</v>
      </c>
      <c r="B728" s="2">
        <v>44986</v>
      </c>
      <c r="C728" s="1" t="s">
        <v>771</v>
      </c>
      <c r="D728" s="1" t="s">
        <v>37</v>
      </c>
      <c r="E728" s="1" t="s">
        <v>17</v>
      </c>
      <c r="F728" s="1" t="s">
        <v>1239</v>
      </c>
      <c r="G728" s="1" t="s">
        <v>18</v>
      </c>
      <c r="H728" s="1">
        <v>4</v>
      </c>
      <c r="I728" s="1">
        <v>68.33</v>
      </c>
      <c r="J728" s="1">
        <v>0</v>
      </c>
      <c r="K728" s="1">
        <v>273.32</v>
      </c>
      <c r="L728" s="1">
        <v>100.77</v>
      </c>
      <c r="M728" s="1">
        <v>25</v>
      </c>
      <c r="N728" s="1" t="s">
        <v>26</v>
      </c>
      <c r="O728" s="1" t="s">
        <v>27</v>
      </c>
    </row>
    <row r="729" spans="1:15" x14ac:dyDescent="0.25">
      <c r="A729" s="1">
        <v>100901</v>
      </c>
      <c r="B729" s="2">
        <v>45708</v>
      </c>
      <c r="C729" s="1" t="s">
        <v>772</v>
      </c>
      <c r="D729" s="1" t="s">
        <v>100</v>
      </c>
      <c r="E729" s="1" t="s">
        <v>25</v>
      </c>
      <c r="F729" s="1" t="s">
        <v>1254</v>
      </c>
      <c r="G729" s="1" t="s">
        <v>18</v>
      </c>
      <c r="H729" s="1">
        <v>1</v>
      </c>
      <c r="I729" s="1">
        <v>116.18</v>
      </c>
      <c r="J729" s="1">
        <v>0</v>
      </c>
      <c r="K729" s="1">
        <v>116.18</v>
      </c>
      <c r="L729" s="1">
        <v>34.49</v>
      </c>
      <c r="M729" s="1">
        <v>31</v>
      </c>
      <c r="N729" s="1" t="s">
        <v>26</v>
      </c>
      <c r="O729" s="1" t="s">
        <v>51</v>
      </c>
    </row>
    <row r="730" spans="1:15" x14ac:dyDescent="0.25">
      <c r="A730" s="1">
        <v>100324</v>
      </c>
      <c r="B730" s="2">
        <v>45056</v>
      </c>
      <c r="C730" s="1" t="s">
        <v>773</v>
      </c>
      <c r="D730" s="1" t="s">
        <v>22</v>
      </c>
      <c r="E730" s="1" t="s">
        <v>17</v>
      </c>
      <c r="F730" s="1" t="s">
        <v>1240</v>
      </c>
      <c r="G730" s="1" t="s">
        <v>48</v>
      </c>
      <c r="H730" s="1">
        <v>1</v>
      </c>
      <c r="I730" s="1">
        <v>24.62</v>
      </c>
      <c r="J730" s="1">
        <v>0</v>
      </c>
      <c r="K730" s="1">
        <v>24.62</v>
      </c>
      <c r="L730" s="1">
        <v>5.5</v>
      </c>
      <c r="M730" s="1">
        <v>32</v>
      </c>
      <c r="N730" s="1" t="s">
        <v>26</v>
      </c>
      <c r="O730" s="1" t="s">
        <v>32</v>
      </c>
    </row>
    <row r="731" spans="1:15" x14ac:dyDescent="0.2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x14ac:dyDescent="0.25">
      <c r="A732" s="1">
        <v>101053</v>
      </c>
      <c r="B732" s="2">
        <v>45164</v>
      </c>
      <c r="C732" s="1" t="s">
        <v>775</v>
      </c>
      <c r="D732" s="1" t="s">
        <v>34</v>
      </c>
      <c r="E732" s="1" t="s">
        <v>30</v>
      </c>
      <c r="F732" s="1" t="s">
        <v>1254</v>
      </c>
      <c r="G732" s="1" t="s">
        <v>18</v>
      </c>
      <c r="H732" s="1">
        <v>4</v>
      </c>
      <c r="I732" s="1">
        <v>59.53</v>
      </c>
      <c r="J732" s="1">
        <v>5</v>
      </c>
      <c r="K732" s="1">
        <v>226.21</v>
      </c>
      <c r="L732" s="1">
        <v>62.92</v>
      </c>
      <c r="M732" s="1">
        <v>36</v>
      </c>
      <c r="N732" s="1" t="s">
        <v>26</v>
      </c>
      <c r="O732" s="1" t="s">
        <v>35</v>
      </c>
    </row>
    <row r="733" spans="1:15" x14ac:dyDescent="0.25">
      <c r="A733" s="1">
        <v>100790</v>
      </c>
      <c r="B733" s="2">
        <v>45046</v>
      </c>
      <c r="C733" s="1" t="s">
        <v>776</v>
      </c>
      <c r="D733" s="1" t="s">
        <v>66</v>
      </c>
      <c r="E733" s="1" t="s">
        <v>17</v>
      </c>
      <c r="F733" s="1" t="s">
        <v>1240</v>
      </c>
      <c r="G733" s="1" t="s">
        <v>48</v>
      </c>
      <c r="H733" s="1">
        <v>4</v>
      </c>
      <c r="I733" s="1">
        <v>137.82</v>
      </c>
      <c r="J733" s="1">
        <v>10</v>
      </c>
      <c r="K733" s="1">
        <v>496.15</v>
      </c>
      <c r="L733" s="1">
        <v>124.58</v>
      </c>
      <c r="M733" s="1">
        <v>16</v>
      </c>
      <c r="N733" s="1" t="s">
        <v>19</v>
      </c>
      <c r="O733" s="1" t="s">
        <v>43</v>
      </c>
    </row>
    <row r="734" spans="1:15" x14ac:dyDescent="0.25">
      <c r="A734" s="1">
        <v>100222</v>
      </c>
      <c r="B734" s="2">
        <v>45583</v>
      </c>
      <c r="C734" s="1" t="s">
        <v>777</v>
      </c>
      <c r="D734" s="1" t="s">
        <v>45</v>
      </c>
      <c r="E734" s="1" t="s">
        <v>30</v>
      </c>
      <c r="F734" s="1" t="s">
        <v>1254</v>
      </c>
      <c r="G734" s="1" t="s">
        <v>18</v>
      </c>
      <c r="H734" s="1">
        <v>1</v>
      </c>
      <c r="I734" s="1">
        <v>15.13</v>
      </c>
      <c r="J734" s="1">
        <v>0</v>
      </c>
      <c r="K734" s="1">
        <v>15.13</v>
      </c>
      <c r="L734" s="1">
        <v>4.93</v>
      </c>
      <c r="M734" s="1">
        <v>28</v>
      </c>
      <c r="N734" s="1" t="s">
        <v>26</v>
      </c>
      <c r="O734" s="1" t="s">
        <v>20</v>
      </c>
    </row>
    <row r="735" spans="1:15" x14ac:dyDescent="0.2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x14ac:dyDescent="0.2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x14ac:dyDescent="0.25">
      <c r="A737" s="1">
        <v>100521</v>
      </c>
      <c r="B737" s="2">
        <v>45061</v>
      </c>
      <c r="C737" s="1" t="s">
        <v>780</v>
      </c>
      <c r="D737" s="1" t="s">
        <v>56</v>
      </c>
      <c r="E737" s="1" t="s">
        <v>30</v>
      </c>
      <c r="F737" s="1" t="s">
        <v>1240</v>
      </c>
      <c r="G737" s="1" t="s">
        <v>31</v>
      </c>
      <c r="H737" s="1">
        <v>3</v>
      </c>
      <c r="I737" s="1">
        <v>42.91</v>
      </c>
      <c r="J737" s="1">
        <v>0</v>
      </c>
      <c r="K737" s="1">
        <v>128.72999999999999</v>
      </c>
      <c r="L737" s="1">
        <v>47.84</v>
      </c>
      <c r="M737" s="1">
        <v>25</v>
      </c>
      <c r="N737" s="1" t="s">
        <v>19</v>
      </c>
      <c r="O737" s="1" t="s">
        <v>43</v>
      </c>
    </row>
    <row r="738" spans="1:15" x14ac:dyDescent="0.25">
      <c r="A738" s="1">
        <v>100022</v>
      </c>
      <c r="B738" s="2">
        <v>45672</v>
      </c>
      <c r="C738" s="1" t="s">
        <v>781</v>
      </c>
      <c r="D738" s="1" t="s">
        <v>66</v>
      </c>
      <c r="E738" s="1" t="s">
        <v>17</v>
      </c>
      <c r="F738" s="1" t="s">
        <v>1240</v>
      </c>
      <c r="G738" s="1" t="s">
        <v>18</v>
      </c>
      <c r="H738" s="1">
        <v>2</v>
      </c>
      <c r="I738" s="1">
        <v>118.15</v>
      </c>
      <c r="J738" s="1">
        <v>0</v>
      </c>
      <c r="K738" s="1">
        <v>236.3</v>
      </c>
      <c r="L738" s="1">
        <v>70.44</v>
      </c>
      <c r="M738" s="1">
        <v>39</v>
      </c>
      <c r="N738" s="1" t="s">
        <v>26</v>
      </c>
      <c r="O738" s="1" t="s">
        <v>35</v>
      </c>
    </row>
    <row r="739" spans="1:15" x14ac:dyDescent="0.2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x14ac:dyDescent="0.2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x14ac:dyDescent="0.25">
      <c r="A741" s="1">
        <v>101093</v>
      </c>
      <c r="B741" s="2">
        <v>45302</v>
      </c>
      <c r="C741" s="1" t="s">
        <v>784</v>
      </c>
      <c r="D741" s="1" t="s">
        <v>56</v>
      </c>
      <c r="E741" s="1" t="s">
        <v>30</v>
      </c>
      <c r="F741" s="1" t="s">
        <v>1239</v>
      </c>
      <c r="G741" s="1" t="s">
        <v>18</v>
      </c>
      <c r="H741" s="1">
        <v>1</v>
      </c>
      <c r="I741" s="1">
        <v>47.95</v>
      </c>
      <c r="J741" s="1">
        <v>0</v>
      </c>
      <c r="K741" s="1">
        <v>47.95</v>
      </c>
      <c r="L741" s="1">
        <v>18.079999999999998</v>
      </c>
      <c r="M741" s="1">
        <v>44</v>
      </c>
      <c r="N741" s="1" t="s">
        <v>19</v>
      </c>
      <c r="O741" s="1" t="s">
        <v>46</v>
      </c>
    </row>
    <row r="742" spans="1:15" x14ac:dyDescent="0.25">
      <c r="A742" s="1">
        <v>101111</v>
      </c>
      <c r="B742" s="2">
        <v>45610</v>
      </c>
      <c r="C742" s="1" t="s">
        <v>785</v>
      </c>
      <c r="D742" s="1" t="s">
        <v>16</v>
      </c>
      <c r="E742" s="1" t="s">
        <v>17</v>
      </c>
      <c r="F742" s="1" t="s">
        <v>1240</v>
      </c>
      <c r="G742" s="1" t="s">
        <v>31</v>
      </c>
      <c r="H742" s="1">
        <v>3</v>
      </c>
      <c r="I742" s="1">
        <v>50.32</v>
      </c>
      <c r="J742" s="1">
        <v>0</v>
      </c>
      <c r="K742" s="1">
        <v>150.96</v>
      </c>
      <c r="L742" s="1">
        <v>48.36</v>
      </c>
      <c r="M742" s="1">
        <v>31</v>
      </c>
      <c r="N742" s="1" t="s">
        <v>19</v>
      </c>
      <c r="O742" s="1" t="s">
        <v>27</v>
      </c>
    </row>
    <row r="743" spans="1:15" x14ac:dyDescent="0.2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x14ac:dyDescent="0.2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x14ac:dyDescent="0.25">
      <c r="A745" s="1">
        <v>100340</v>
      </c>
      <c r="B745" s="2">
        <v>45078</v>
      </c>
      <c r="C745" s="1" t="s">
        <v>788</v>
      </c>
      <c r="D745" s="1" t="s">
        <v>24</v>
      </c>
      <c r="E745" s="1" t="s">
        <v>25</v>
      </c>
      <c r="F745" s="1" t="s">
        <v>1239</v>
      </c>
      <c r="G745" s="1" t="s">
        <v>18</v>
      </c>
      <c r="H745" s="1">
        <v>1</v>
      </c>
      <c r="I745" s="1">
        <v>96.62</v>
      </c>
      <c r="J745" s="1">
        <v>0</v>
      </c>
      <c r="K745" s="1">
        <v>96.62</v>
      </c>
      <c r="L745" s="1">
        <v>25.35</v>
      </c>
      <c r="M745" s="1">
        <v>30</v>
      </c>
      <c r="N745" s="1" t="s">
        <v>26</v>
      </c>
      <c r="O745" s="1" t="s">
        <v>20</v>
      </c>
    </row>
    <row r="746" spans="1:15" x14ac:dyDescent="0.2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x14ac:dyDescent="0.2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x14ac:dyDescent="0.25">
      <c r="A748" s="1">
        <v>100217</v>
      </c>
      <c r="B748" s="2">
        <v>45038</v>
      </c>
      <c r="C748" s="1" t="s">
        <v>791</v>
      </c>
      <c r="D748" s="1" t="s">
        <v>100</v>
      </c>
      <c r="E748" s="1" t="s">
        <v>25</v>
      </c>
      <c r="F748" s="1" t="s">
        <v>1240</v>
      </c>
      <c r="G748" s="1" t="s">
        <v>18</v>
      </c>
      <c r="H748" s="1">
        <v>2</v>
      </c>
      <c r="I748" s="1">
        <v>130.16</v>
      </c>
      <c r="J748" s="1">
        <v>0</v>
      </c>
      <c r="K748" s="1">
        <v>260.32</v>
      </c>
      <c r="L748" s="1">
        <v>98.85</v>
      </c>
      <c r="M748" s="1">
        <v>23</v>
      </c>
      <c r="N748" s="1" t="s">
        <v>19</v>
      </c>
      <c r="O748" s="1" t="s">
        <v>51</v>
      </c>
    </row>
    <row r="749" spans="1:15" x14ac:dyDescent="0.2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x14ac:dyDescent="0.25">
      <c r="A750" s="1">
        <v>100905</v>
      </c>
      <c r="B750" s="2">
        <v>45151</v>
      </c>
      <c r="C750" s="1" t="s">
        <v>793</v>
      </c>
      <c r="D750" s="1" t="s">
        <v>73</v>
      </c>
      <c r="E750" s="1" t="s">
        <v>25</v>
      </c>
      <c r="F750" s="1" t="s">
        <v>1240</v>
      </c>
      <c r="G750" s="1" t="s">
        <v>18</v>
      </c>
      <c r="H750" s="1">
        <v>2</v>
      </c>
      <c r="I750" s="1">
        <v>33.17</v>
      </c>
      <c r="J750" s="1">
        <v>5</v>
      </c>
      <c r="K750" s="1">
        <v>63.02</v>
      </c>
      <c r="L750" s="1">
        <v>21.07</v>
      </c>
      <c r="M750" s="1">
        <v>28</v>
      </c>
      <c r="N750" s="1" t="s">
        <v>26</v>
      </c>
      <c r="O750" s="1" t="s">
        <v>32</v>
      </c>
    </row>
    <row r="751" spans="1:15" x14ac:dyDescent="0.2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x14ac:dyDescent="0.25">
      <c r="A752" s="1">
        <v>100093</v>
      </c>
      <c r="B752" s="2">
        <v>45157</v>
      </c>
      <c r="C752" s="1" t="s">
        <v>795</v>
      </c>
      <c r="D752" s="1" t="s">
        <v>87</v>
      </c>
      <c r="E752" s="1" t="s">
        <v>25</v>
      </c>
      <c r="F752" s="1" t="s">
        <v>1240</v>
      </c>
      <c r="G752" s="1" t="s">
        <v>48</v>
      </c>
      <c r="H752" s="1">
        <v>2</v>
      </c>
      <c r="I752" s="1">
        <v>68.290000000000006</v>
      </c>
      <c r="J752" s="1">
        <v>5</v>
      </c>
      <c r="K752" s="1">
        <v>129.75</v>
      </c>
      <c r="L752" s="1">
        <v>37.71</v>
      </c>
      <c r="M752" s="1">
        <v>29</v>
      </c>
      <c r="N752" s="1" t="s">
        <v>26</v>
      </c>
      <c r="O752" s="1" t="s">
        <v>20</v>
      </c>
    </row>
    <row r="753" spans="1:15" x14ac:dyDescent="0.2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x14ac:dyDescent="0.2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x14ac:dyDescent="0.2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x14ac:dyDescent="0.2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x14ac:dyDescent="0.25">
      <c r="A757" s="1">
        <v>100696</v>
      </c>
      <c r="B757" s="2">
        <v>45560</v>
      </c>
      <c r="C757" s="1" t="s">
        <v>800</v>
      </c>
      <c r="D757" s="1" t="s">
        <v>70</v>
      </c>
      <c r="E757" s="1" t="s">
        <v>25</v>
      </c>
      <c r="F757" s="1" t="s">
        <v>1240</v>
      </c>
      <c r="G757" s="1" t="s">
        <v>31</v>
      </c>
      <c r="H757" s="1">
        <v>5</v>
      </c>
      <c r="I757" s="1">
        <v>160.76</v>
      </c>
      <c r="J757" s="1">
        <v>5</v>
      </c>
      <c r="K757" s="1">
        <v>763.61</v>
      </c>
      <c r="L757" s="1">
        <v>165.24</v>
      </c>
      <c r="M757" s="1">
        <v>27</v>
      </c>
      <c r="N757" s="1" t="s">
        <v>26</v>
      </c>
      <c r="O757" s="1" t="s">
        <v>51</v>
      </c>
    </row>
    <row r="758" spans="1:15" x14ac:dyDescent="0.2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x14ac:dyDescent="0.25">
      <c r="A759" s="1">
        <v>100434</v>
      </c>
      <c r="B759" s="2">
        <v>45068</v>
      </c>
      <c r="C759" s="1" t="s">
        <v>802</v>
      </c>
      <c r="D759" s="1" t="s">
        <v>34</v>
      </c>
      <c r="E759" s="1" t="s">
        <v>30</v>
      </c>
      <c r="F759" s="1" t="s">
        <v>1254</v>
      </c>
      <c r="G759" s="1" t="s">
        <v>31</v>
      </c>
      <c r="H759" s="1">
        <v>2</v>
      </c>
      <c r="I759" s="1">
        <v>65.05</v>
      </c>
      <c r="J759" s="1">
        <v>0</v>
      </c>
      <c r="K759" s="1">
        <v>130.1</v>
      </c>
      <c r="L759" s="1">
        <v>33.840000000000003</v>
      </c>
      <c r="M759" s="1">
        <v>45</v>
      </c>
      <c r="N759" s="1" t="s">
        <v>19</v>
      </c>
      <c r="O759" s="1" t="s">
        <v>43</v>
      </c>
    </row>
    <row r="760" spans="1:15" x14ac:dyDescent="0.2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x14ac:dyDescent="0.2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x14ac:dyDescent="0.2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x14ac:dyDescent="0.2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x14ac:dyDescent="0.2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x14ac:dyDescent="0.25">
      <c r="A765" s="1">
        <v>100446</v>
      </c>
      <c r="B765" s="2">
        <v>45021</v>
      </c>
      <c r="C765" s="1" t="s">
        <v>808</v>
      </c>
      <c r="D765" s="1" t="s">
        <v>59</v>
      </c>
      <c r="E765" s="1" t="s">
        <v>17</v>
      </c>
      <c r="F765" s="1" t="s">
        <v>1240</v>
      </c>
      <c r="G765" s="1" t="s">
        <v>18</v>
      </c>
      <c r="H765" s="1">
        <v>2</v>
      </c>
      <c r="I765" s="1">
        <v>29.29</v>
      </c>
      <c r="J765" s="1">
        <v>20</v>
      </c>
      <c r="K765" s="1">
        <v>46.86</v>
      </c>
      <c r="L765" s="1">
        <v>11.64</v>
      </c>
      <c r="M765" s="1">
        <v>19</v>
      </c>
      <c r="N765" s="1" t="s">
        <v>26</v>
      </c>
      <c r="O765" s="1" t="s">
        <v>51</v>
      </c>
    </row>
    <row r="766" spans="1:15" x14ac:dyDescent="0.2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x14ac:dyDescent="0.25">
      <c r="A767" s="1">
        <v>100188</v>
      </c>
      <c r="B767" s="2">
        <v>45051</v>
      </c>
      <c r="C767" s="1" t="s">
        <v>33</v>
      </c>
      <c r="D767" s="1" t="s">
        <v>73</v>
      </c>
      <c r="E767" s="1" t="s">
        <v>25</v>
      </c>
      <c r="F767" s="1" t="s">
        <v>1240</v>
      </c>
      <c r="G767" s="1" t="s">
        <v>31</v>
      </c>
      <c r="H767" s="1">
        <v>1</v>
      </c>
      <c r="I767" s="1">
        <v>36.47</v>
      </c>
      <c r="J767" s="1">
        <v>0</v>
      </c>
      <c r="K767" s="1">
        <v>36.47</v>
      </c>
      <c r="L767" s="1">
        <v>14.19</v>
      </c>
      <c r="M767" s="1">
        <v>31</v>
      </c>
      <c r="N767" s="1" t="s">
        <v>26</v>
      </c>
      <c r="O767" s="1" t="s">
        <v>43</v>
      </c>
    </row>
    <row r="768" spans="1:15" x14ac:dyDescent="0.25">
      <c r="A768" s="1">
        <v>100271</v>
      </c>
      <c r="B768" s="2">
        <v>45628</v>
      </c>
      <c r="C768" s="1" t="s">
        <v>810</v>
      </c>
      <c r="D768" s="1" t="s">
        <v>62</v>
      </c>
      <c r="E768" s="1" t="s">
        <v>17</v>
      </c>
      <c r="F768" s="1" t="s">
        <v>1240</v>
      </c>
      <c r="G768" s="1" t="s">
        <v>18</v>
      </c>
      <c r="H768" s="1">
        <v>4</v>
      </c>
      <c r="I768" s="1">
        <v>136.9</v>
      </c>
      <c r="J768" s="1">
        <v>20</v>
      </c>
      <c r="K768" s="1">
        <v>438.08</v>
      </c>
      <c r="L768" s="1">
        <v>118.27</v>
      </c>
      <c r="M768" s="1">
        <v>32</v>
      </c>
      <c r="N768" s="1" t="s">
        <v>26</v>
      </c>
      <c r="O768" s="1" t="s">
        <v>35</v>
      </c>
    </row>
    <row r="769" spans="1:15" x14ac:dyDescent="0.25">
      <c r="A769" s="1">
        <v>100236</v>
      </c>
      <c r="B769" s="2">
        <v>45109</v>
      </c>
      <c r="C769" s="1" t="s">
        <v>811</v>
      </c>
      <c r="D769" s="1" t="s">
        <v>45</v>
      </c>
      <c r="E769" s="1" t="s">
        <v>30</v>
      </c>
      <c r="F769" s="1" t="s">
        <v>1240</v>
      </c>
      <c r="G769" s="1" t="s">
        <v>64</v>
      </c>
      <c r="H769" s="1">
        <v>1</v>
      </c>
      <c r="I769" s="1">
        <v>13.05</v>
      </c>
      <c r="J769" s="1">
        <v>5</v>
      </c>
      <c r="K769" s="1">
        <v>12.4</v>
      </c>
      <c r="L769" s="1">
        <v>4.58</v>
      </c>
      <c r="M769" s="1">
        <v>25</v>
      </c>
      <c r="N769" s="1" t="s">
        <v>19</v>
      </c>
      <c r="O769" s="1" t="s">
        <v>81</v>
      </c>
    </row>
    <row r="770" spans="1:15" x14ac:dyDescent="0.2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x14ac:dyDescent="0.25">
      <c r="A771" s="1">
        <v>101159</v>
      </c>
      <c r="B771" s="2">
        <v>45118</v>
      </c>
      <c r="C771" s="1" t="s">
        <v>813</v>
      </c>
      <c r="D771" s="1" t="s">
        <v>66</v>
      </c>
      <c r="E771" s="1" t="s">
        <v>17</v>
      </c>
      <c r="F771" s="1" t="s">
        <v>1240</v>
      </c>
      <c r="G771" s="1" t="s">
        <v>18</v>
      </c>
      <c r="H771" s="1">
        <v>4</v>
      </c>
      <c r="I771" s="1">
        <v>128.41999999999999</v>
      </c>
      <c r="J771" s="1">
        <v>0</v>
      </c>
      <c r="K771" s="1">
        <v>513.67999999999995</v>
      </c>
      <c r="L771" s="1">
        <v>141.94999999999999</v>
      </c>
      <c r="M771" s="1">
        <v>24</v>
      </c>
      <c r="N771" s="1" t="s">
        <v>26</v>
      </c>
      <c r="O771" s="1" t="s">
        <v>43</v>
      </c>
    </row>
    <row r="772" spans="1:15" x14ac:dyDescent="0.25">
      <c r="A772" s="1">
        <v>100559</v>
      </c>
      <c r="B772" s="2">
        <v>45817</v>
      </c>
      <c r="C772" s="1" t="s">
        <v>814</v>
      </c>
      <c r="D772" s="1" t="s">
        <v>37</v>
      </c>
      <c r="E772" s="1" t="s">
        <v>17</v>
      </c>
      <c r="F772" s="1" t="s">
        <v>1254</v>
      </c>
      <c r="G772" s="1" t="s">
        <v>64</v>
      </c>
      <c r="H772" s="1">
        <v>1</v>
      </c>
      <c r="I772" s="1">
        <v>81.650000000000006</v>
      </c>
      <c r="J772" s="1">
        <v>0</v>
      </c>
      <c r="K772" s="1">
        <v>81.650000000000006</v>
      </c>
      <c r="L772" s="1">
        <v>24.12</v>
      </c>
      <c r="M772" s="1">
        <v>20</v>
      </c>
      <c r="N772" s="1" t="s">
        <v>19</v>
      </c>
      <c r="O772" s="1" t="s">
        <v>32</v>
      </c>
    </row>
    <row r="773" spans="1:15" x14ac:dyDescent="0.2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x14ac:dyDescent="0.2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x14ac:dyDescent="0.25">
      <c r="A775" s="1">
        <v>101127</v>
      </c>
      <c r="B775" s="2">
        <v>45044</v>
      </c>
      <c r="C775" s="1" t="s">
        <v>817</v>
      </c>
      <c r="D775" s="1" t="s">
        <v>73</v>
      </c>
      <c r="E775" s="1" t="s">
        <v>25</v>
      </c>
      <c r="F775" s="1" t="s">
        <v>1240</v>
      </c>
      <c r="G775" s="1" t="s">
        <v>18</v>
      </c>
      <c r="H775" s="1">
        <v>6</v>
      </c>
      <c r="I775" s="1">
        <v>40.479999999999997</v>
      </c>
      <c r="J775" s="1">
        <v>10</v>
      </c>
      <c r="K775" s="1">
        <v>218.59</v>
      </c>
      <c r="L775" s="1">
        <v>47.7</v>
      </c>
      <c r="M775" s="1">
        <v>37</v>
      </c>
      <c r="N775" s="1" t="s">
        <v>19</v>
      </c>
      <c r="O775" s="1" t="s">
        <v>35</v>
      </c>
    </row>
    <row r="776" spans="1:15" x14ac:dyDescent="0.25">
      <c r="A776" s="1">
        <v>100750</v>
      </c>
      <c r="B776" s="2">
        <v>45255</v>
      </c>
      <c r="C776" s="1" t="s">
        <v>818</v>
      </c>
      <c r="D776" s="1" t="s">
        <v>70</v>
      </c>
      <c r="E776" s="1" t="s">
        <v>25</v>
      </c>
      <c r="F776" s="1" t="s">
        <v>1240</v>
      </c>
      <c r="G776" s="1" t="s">
        <v>48</v>
      </c>
      <c r="H776" s="1">
        <v>1</v>
      </c>
      <c r="I776" s="1">
        <v>168.9</v>
      </c>
      <c r="J776" s="1">
        <v>10</v>
      </c>
      <c r="K776" s="1">
        <v>152.01</v>
      </c>
      <c r="L776" s="1">
        <v>45.82</v>
      </c>
      <c r="M776" s="1">
        <v>22</v>
      </c>
      <c r="N776" s="1" t="s">
        <v>26</v>
      </c>
      <c r="O776" s="1" t="s">
        <v>81</v>
      </c>
    </row>
    <row r="777" spans="1:15" x14ac:dyDescent="0.2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x14ac:dyDescent="0.25">
      <c r="A778" s="1">
        <v>100633</v>
      </c>
      <c r="B778" s="2">
        <v>44990</v>
      </c>
      <c r="C778" s="1" t="s">
        <v>819</v>
      </c>
      <c r="D778" s="1" t="s">
        <v>59</v>
      </c>
      <c r="E778" s="1" t="s">
        <v>17</v>
      </c>
      <c r="F778" s="1" t="s">
        <v>1239</v>
      </c>
      <c r="G778" s="1" t="s">
        <v>18</v>
      </c>
      <c r="H778" s="1">
        <v>2</v>
      </c>
      <c r="I778" s="1">
        <v>30.33</v>
      </c>
      <c r="J778" s="1">
        <v>0</v>
      </c>
      <c r="K778" s="1">
        <v>60.66</v>
      </c>
      <c r="L778" s="1">
        <v>16.72</v>
      </c>
      <c r="M778" s="1">
        <v>29</v>
      </c>
      <c r="N778" s="1" t="s">
        <v>19</v>
      </c>
      <c r="O778" s="1" t="s">
        <v>43</v>
      </c>
    </row>
    <row r="779" spans="1:15" x14ac:dyDescent="0.2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x14ac:dyDescent="0.25">
      <c r="A780" s="1">
        <v>101006</v>
      </c>
      <c r="B780" s="2">
        <v>45336</v>
      </c>
      <c r="C780" s="1" t="s">
        <v>821</v>
      </c>
      <c r="D780" s="1" t="s">
        <v>29</v>
      </c>
      <c r="E780" s="1" t="s">
        <v>30</v>
      </c>
      <c r="F780" s="1" t="s">
        <v>1240</v>
      </c>
      <c r="G780" s="1" t="s">
        <v>18</v>
      </c>
      <c r="H780" s="1">
        <v>5</v>
      </c>
      <c r="I780" s="1">
        <v>18.62</v>
      </c>
      <c r="J780" s="1">
        <v>10</v>
      </c>
      <c r="K780" s="1">
        <v>83.79</v>
      </c>
      <c r="L780" s="1">
        <v>31.99</v>
      </c>
      <c r="M780" s="1">
        <v>25</v>
      </c>
      <c r="N780" s="1" t="s">
        <v>19</v>
      </c>
      <c r="O780" s="1" t="s">
        <v>51</v>
      </c>
    </row>
    <row r="781" spans="1:15" x14ac:dyDescent="0.25">
      <c r="A781" s="1">
        <v>100852</v>
      </c>
      <c r="B781" s="2">
        <v>45848</v>
      </c>
      <c r="C781" s="1" t="s">
        <v>822</v>
      </c>
      <c r="D781" s="1" t="s">
        <v>62</v>
      </c>
      <c r="E781" s="1" t="s">
        <v>17</v>
      </c>
      <c r="F781" s="1" t="s">
        <v>1240</v>
      </c>
      <c r="G781" s="1" t="s">
        <v>31</v>
      </c>
      <c r="H781" s="1">
        <v>2</v>
      </c>
      <c r="I781" s="1">
        <v>144.15</v>
      </c>
      <c r="J781" s="1">
        <v>5</v>
      </c>
      <c r="K781" s="1">
        <v>273.88</v>
      </c>
      <c r="L781" s="1">
        <v>86.29</v>
      </c>
      <c r="M781" s="1">
        <v>33</v>
      </c>
      <c r="N781" s="1" t="s">
        <v>26</v>
      </c>
      <c r="O781" s="1" t="s">
        <v>20</v>
      </c>
    </row>
    <row r="782" spans="1:15" x14ac:dyDescent="0.2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x14ac:dyDescent="0.25">
      <c r="A783" s="1">
        <v>100116</v>
      </c>
      <c r="B783" s="2">
        <v>45858</v>
      </c>
      <c r="C783" s="1" t="s">
        <v>824</v>
      </c>
      <c r="D783" s="1" t="s">
        <v>16</v>
      </c>
      <c r="E783" s="1" t="s">
        <v>17</v>
      </c>
      <c r="F783" s="1" t="s">
        <v>1240</v>
      </c>
      <c r="G783" s="1" t="s">
        <v>18</v>
      </c>
      <c r="H783" s="1">
        <v>3</v>
      </c>
      <c r="I783" s="1">
        <v>61.1</v>
      </c>
      <c r="J783" s="1">
        <v>0</v>
      </c>
      <c r="K783" s="1">
        <v>183.3</v>
      </c>
      <c r="L783" s="1">
        <v>62.42</v>
      </c>
      <c r="M783" s="1">
        <v>16</v>
      </c>
      <c r="N783" s="1" t="s">
        <v>26</v>
      </c>
      <c r="O783" s="1" t="s">
        <v>46</v>
      </c>
    </row>
    <row r="784" spans="1:15" x14ac:dyDescent="0.25">
      <c r="A784" s="1">
        <v>100473</v>
      </c>
      <c r="B784" s="2">
        <v>45162</v>
      </c>
      <c r="C784" s="1" t="s">
        <v>825</v>
      </c>
      <c r="D784" s="1" t="s">
        <v>24</v>
      </c>
      <c r="E784" s="1" t="s">
        <v>25</v>
      </c>
      <c r="F784" s="1" t="s">
        <v>1240</v>
      </c>
      <c r="G784" s="1" t="s">
        <v>18</v>
      </c>
      <c r="H784" s="1">
        <v>6</v>
      </c>
      <c r="I784" s="1">
        <v>101.44</v>
      </c>
      <c r="J784" s="1">
        <v>0</v>
      </c>
      <c r="K784" s="1">
        <v>608.64</v>
      </c>
      <c r="L784" s="1">
        <v>152.53</v>
      </c>
      <c r="M784" s="1">
        <v>34</v>
      </c>
      <c r="N784" s="1" t="s">
        <v>26</v>
      </c>
      <c r="O784" s="1" t="s">
        <v>27</v>
      </c>
    </row>
    <row r="785" spans="1:15" x14ac:dyDescent="0.25">
      <c r="A785" s="1">
        <v>100740</v>
      </c>
      <c r="B785" s="2">
        <v>45331</v>
      </c>
      <c r="C785" s="1" t="s">
        <v>826</v>
      </c>
      <c r="D785" s="1" t="s">
        <v>62</v>
      </c>
      <c r="E785" s="1" t="s">
        <v>17</v>
      </c>
      <c r="F785" s="1" t="s">
        <v>1239</v>
      </c>
      <c r="G785" s="1" t="s">
        <v>31</v>
      </c>
      <c r="H785" s="1">
        <v>1</v>
      </c>
      <c r="I785" s="1">
        <v>121.08</v>
      </c>
      <c r="J785" s="1">
        <v>0</v>
      </c>
      <c r="K785" s="1">
        <v>121.08</v>
      </c>
      <c r="L785" s="1">
        <v>35.31</v>
      </c>
      <c r="M785" s="1">
        <v>25</v>
      </c>
      <c r="N785" s="1" t="s">
        <v>19</v>
      </c>
      <c r="O785" s="1" t="s">
        <v>35</v>
      </c>
    </row>
    <row r="786" spans="1:15" x14ac:dyDescent="0.25">
      <c r="A786" s="1">
        <v>100992</v>
      </c>
      <c r="B786" s="2">
        <v>45679</v>
      </c>
      <c r="C786" s="1" t="s">
        <v>827</v>
      </c>
      <c r="D786" s="1" t="s">
        <v>39</v>
      </c>
      <c r="E786" s="1" t="s">
        <v>25</v>
      </c>
      <c r="F786" s="1" t="s">
        <v>1254</v>
      </c>
      <c r="G786" s="1" t="s">
        <v>18</v>
      </c>
      <c r="H786" s="1">
        <v>2</v>
      </c>
      <c r="I786" s="1">
        <v>184.09</v>
      </c>
      <c r="J786" s="1">
        <v>5</v>
      </c>
      <c r="K786" s="1">
        <v>349.77</v>
      </c>
      <c r="L786" s="1">
        <v>109.44</v>
      </c>
      <c r="M786" s="1">
        <v>17</v>
      </c>
      <c r="N786" s="1" t="s">
        <v>19</v>
      </c>
      <c r="O786" s="1" t="s">
        <v>35</v>
      </c>
    </row>
    <row r="787" spans="1:15" x14ac:dyDescent="0.2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x14ac:dyDescent="0.25">
      <c r="A788" s="1">
        <v>100603</v>
      </c>
      <c r="B788" s="2">
        <v>45431</v>
      </c>
      <c r="C788" s="1" t="s">
        <v>829</v>
      </c>
      <c r="D788" s="1" t="s">
        <v>42</v>
      </c>
      <c r="E788" s="1" t="s">
        <v>25</v>
      </c>
      <c r="F788" s="1" t="s">
        <v>1240</v>
      </c>
      <c r="G788" s="1" t="s">
        <v>18</v>
      </c>
      <c r="H788" s="1">
        <v>3</v>
      </c>
      <c r="I788" s="1">
        <v>169.7</v>
      </c>
      <c r="J788" s="1">
        <v>0</v>
      </c>
      <c r="K788" s="1">
        <v>509.1</v>
      </c>
      <c r="L788" s="1">
        <v>180.04</v>
      </c>
      <c r="M788" s="1">
        <v>32</v>
      </c>
      <c r="N788" s="1" t="s">
        <v>26</v>
      </c>
      <c r="O788" s="1" t="s">
        <v>27</v>
      </c>
    </row>
    <row r="789" spans="1:15" x14ac:dyDescent="0.25">
      <c r="A789" s="1">
        <v>100786</v>
      </c>
      <c r="B789" s="2">
        <v>45652</v>
      </c>
      <c r="C789" s="1" t="s">
        <v>830</v>
      </c>
      <c r="D789" s="1" t="s">
        <v>34</v>
      </c>
      <c r="E789" s="1" t="s">
        <v>30</v>
      </c>
      <c r="F789" s="1" t="s">
        <v>1240</v>
      </c>
      <c r="G789" s="1" t="s">
        <v>18</v>
      </c>
      <c r="H789" s="1">
        <v>2</v>
      </c>
      <c r="I789" s="1">
        <v>56.76</v>
      </c>
      <c r="J789" s="1">
        <v>0</v>
      </c>
      <c r="K789" s="1">
        <v>113.52</v>
      </c>
      <c r="L789" s="1">
        <v>24.97</v>
      </c>
      <c r="M789" s="1">
        <v>23</v>
      </c>
      <c r="N789" s="1" t="s">
        <v>26</v>
      </c>
      <c r="O789" s="1" t="s">
        <v>43</v>
      </c>
    </row>
    <row r="790" spans="1:15" x14ac:dyDescent="0.2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x14ac:dyDescent="0.25">
      <c r="A791" s="1">
        <v>100656</v>
      </c>
      <c r="B791" s="2">
        <v>45844</v>
      </c>
      <c r="C791" s="1" t="s">
        <v>832</v>
      </c>
      <c r="D791" s="1" t="s">
        <v>87</v>
      </c>
      <c r="E791" s="1" t="s">
        <v>25</v>
      </c>
      <c r="F791" s="1" t="s">
        <v>1240</v>
      </c>
      <c r="G791" s="1" t="s">
        <v>31</v>
      </c>
      <c r="H791" s="1">
        <v>5</v>
      </c>
      <c r="I791" s="1">
        <v>80.94</v>
      </c>
      <c r="J791" s="1">
        <v>0</v>
      </c>
      <c r="K791" s="1">
        <v>404.7</v>
      </c>
      <c r="L791" s="1">
        <v>143.22</v>
      </c>
      <c r="M791" s="1">
        <v>23</v>
      </c>
      <c r="N791" s="1" t="s">
        <v>19</v>
      </c>
      <c r="O791" s="1" t="s">
        <v>46</v>
      </c>
    </row>
    <row r="792" spans="1:15" x14ac:dyDescent="0.25">
      <c r="A792" s="1">
        <v>100902</v>
      </c>
      <c r="B792" s="2">
        <v>45820</v>
      </c>
      <c r="C792" s="1" t="s">
        <v>833</v>
      </c>
      <c r="D792" s="1" t="s">
        <v>68</v>
      </c>
      <c r="E792" s="1" t="s">
        <v>25</v>
      </c>
      <c r="F792" s="1" t="s">
        <v>1239</v>
      </c>
      <c r="G792" s="1" t="s">
        <v>48</v>
      </c>
      <c r="H792" s="1">
        <v>3</v>
      </c>
      <c r="I792" s="1">
        <v>221.49</v>
      </c>
      <c r="J792" s="1">
        <v>0</v>
      </c>
      <c r="K792" s="1">
        <v>664.47</v>
      </c>
      <c r="L792" s="1">
        <v>225.85</v>
      </c>
      <c r="M792" s="1">
        <v>26</v>
      </c>
      <c r="N792" s="1" t="s">
        <v>26</v>
      </c>
      <c r="O792" s="1" t="s">
        <v>27</v>
      </c>
    </row>
    <row r="793" spans="1:15" x14ac:dyDescent="0.25">
      <c r="A793" s="1">
        <v>100921</v>
      </c>
      <c r="B793" s="2">
        <v>45325</v>
      </c>
      <c r="C793" s="1" t="s">
        <v>834</v>
      </c>
      <c r="D793" s="1" t="s">
        <v>73</v>
      </c>
      <c r="E793" s="1" t="s">
        <v>25</v>
      </c>
      <c r="F793" s="1" t="s">
        <v>1240</v>
      </c>
      <c r="G793" s="1" t="s">
        <v>18</v>
      </c>
      <c r="H793" s="1">
        <v>3</v>
      </c>
      <c r="I793" s="1">
        <v>29.79</v>
      </c>
      <c r="J793" s="1">
        <v>10</v>
      </c>
      <c r="K793" s="1">
        <v>80.430000000000007</v>
      </c>
      <c r="L793" s="1">
        <v>28.4</v>
      </c>
      <c r="M793" s="1">
        <v>26</v>
      </c>
      <c r="N793" s="1" t="s">
        <v>19</v>
      </c>
      <c r="O793" s="1" t="s">
        <v>46</v>
      </c>
    </row>
    <row r="794" spans="1:15" x14ac:dyDescent="0.2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x14ac:dyDescent="0.25">
      <c r="A795" s="1">
        <v>100635</v>
      </c>
      <c r="B795" s="2">
        <v>45372</v>
      </c>
      <c r="C795" s="1" t="s">
        <v>836</v>
      </c>
      <c r="D795" s="1" t="s">
        <v>45</v>
      </c>
      <c r="E795" s="1" t="s">
        <v>30</v>
      </c>
      <c r="F795" s="1" t="s">
        <v>1240</v>
      </c>
      <c r="G795" s="1" t="s">
        <v>18</v>
      </c>
      <c r="H795" s="1">
        <v>1</v>
      </c>
      <c r="I795" s="1">
        <v>15.38</v>
      </c>
      <c r="J795" s="1">
        <v>20</v>
      </c>
      <c r="K795" s="1">
        <v>12.3</v>
      </c>
      <c r="L795" s="1">
        <v>6.01</v>
      </c>
      <c r="M795" s="1">
        <v>26</v>
      </c>
      <c r="N795" s="1" t="s">
        <v>19</v>
      </c>
      <c r="O795" s="1" t="s">
        <v>43</v>
      </c>
    </row>
    <row r="796" spans="1:15" x14ac:dyDescent="0.2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x14ac:dyDescent="0.2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x14ac:dyDescent="0.2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x14ac:dyDescent="0.25">
      <c r="A799" s="1">
        <v>100046</v>
      </c>
      <c r="B799" s="2">
        <v>45640</v>
      </c>
      <c r="C799" s="1" t="s">
        <v>840</v>
      </c>
      <c r="D799" s="1" t="s">
        <v>16</v>
      </c>
      <c r="E799" s="1" t="s">
        <v>17</v>
      </c>
      <c r="F799" s="1" t="s">
        <v>1240</v>
      </c>
      <c r="G799" s="1" t="s">
        <v>31</v>
      </c>
      <c r="H799" s="1">
        <v>4</v>
      </c>
      <c r="I799" s="1">
        <v>62.77</v>
      </c>
      <c r="J799" s="1">
        <v>0</v>
      </c>
      <c r="K799" s="1">
        <v>251.08</v>
      </c>
      <c r="L799" s="1">
        <v>76.400000000000006</v>
      </c>
      <c r="M799" s="1">
        <v>46</v>
      </c>
      <c r="N799" s="1" t="s">
        <v>26</v>
      </c>
      <c r="O799" s="1" t="s">
        <v>35</v>
      </c>
    </row>
    <row r="800" spans="1:15" x14ac:dyDescent="0.25">
      <c r="A800" s="1">
        <v>100349</v>
      </c>
      <c r="B800" s="2">
        <v>44957</v>
      </c>
      <c r="C800" s="1" t="s">
        <v>841</v>
      </c>
      <c r="D800" s="1" t="s">
        <v>22</v>
      </c>
      <c r="E800" s="1" t="s">
        <v>17</v>
      </c>
      <c r="F800" s="1" t="s">
        <v>1239</v>
      </c>
      <c r="G800" s="1" t="s">
        <v>31</v>
      </c>
      <c r="H800" s="1">
        <v>5</v>
      </c>
      <c r="I800" s="1">
        <v>26.47</v>
      </c>
      <c r="J800" s="1">
        <v>10</v>
      </c>
      <c r="K800" s="1">
        <v>119.11</v>
      </c>
      <c r="L800" s="1">
        <v>24.82</v>
      </c>
      <c r="M800" s="1">
        <v>37</v>
      </c>
      <c r="N800" s="1" t="s">
        <v>19</v>
      </c>
      <c r="O800" s="1" t="s">
        <v>51</v>
      </c>
    </row>
    <row r="801" spans="1:15" x14ac:dyDescent="0.25">
      <c r="A801" s="1">
        <v>100773</v>
      </c>
      <c r="B801" s="2">
        <v>45885</v>
      </c>
      <c r="C801" s="1" t="s">
        <v>842</v>
      </c>
      <c r="D801" s="1" t="s">
        <v>37</v>
      </c>
      <c r="E801" s="1" t="s">
        <v>17</v>
      </c>
      <c r="F801" s="1" t="s">
        <v>1254</v>
      </c>
      <c r="G801" s="1" t="s">
        <v>18</v>
      </c>
      <c r="H801" s="1">
        <v>3</v>
      </c>
      <c r="I801" s="1">
        <v>70.010000000000005</v>
      </c>
      <c r="J801" s="1">
        <v>5</v>
      </c>
      <c r="K801" s="1">
        <v>199.53</v>
      </c>
      <c r="L801" s="1">
        <v>57.71</v>
      </c>
      <c r="M801" s="1">
        <v>29</v>
      </c>
      <c r="N801" s="1" t="s">
        <v>26</v>
      </c>
      <c r="O801" s="1" t="s">
        <v>43</v>
      </c>
    </row>
    <row r="802" spans="1:15" x14ac:dyDescent="0.25">
      <c r="A802" s="1">
        <v>100195</v>
      </c>
      <c r="B802" s="2">
        <v>45837</v>
      </c>
      <c r="C802" s="1" t="s">
        <v>843</v>
      </c>
      <c r="D802" s="1" t="s">
        <v>45</v>
      </c>
      <c r="E802" s="1" t="s">
        <v>30</v>
      </c>
      <c r="F802" s="1" t="s">
        <v>1239</v>
      </c>
      <c r="G802" s="1" t="s">
        <v>31</v>
      </c>
      <c r="H802" s="1">
        <v>3</v>
      </c>
      <c r="I802" s="1">
        <v>15.14</v>
      </c>
      <c r="J802" s="1">
        <v>5</v>
      </c>
      <c r="K802" s="1">
        <v>43.15</v>
      </c>
      <c r="L802" s="1">
        <v>17.54</v>
      </c>
      <c r="M802" s="1">
        <v>29</v>
      </c>
      <c r="N802" s="1" t="s">
        <v>19</v>
      </c>
      <c r="O802" s="1" t="s">
        <v>32</v>
      </c>
    </row>
    <row r="803" spans="1:15" x14ac:dyDescent="0.2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x14ac:dyDescent="0.2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x14ac:dyDescent="0.25">
      <c r="A805" s="1">
        <v>100619</v>
      </c>
      <c r="B805" s="2">
        <v>45071</v>
      </c>
      <c r="C805" s="1" t="s">
        <v>846</v>
      </c>
      <c r="D805" s="1" t="s">
        <v>16</v>
      </c>
      <c r="E805" s="1" t="s">
        <v>17</v>
      </c>
      <c r="F805" s="1" t="s">
        <v>1240</v>
      </c>
      <c r="G805" s="1" t="s">
        <v>18</v>
      </c>
      <c r="H805" s="1">
        <v>3</v>
      </c>
      <c r="I805" s="1">
        <v>47.35</v>
      </c>
      <c r="J805" s="1">
        <v>0</v>
      </c>
      <c r="K805" s="1">
        <v>142.05000000000001</v>
      </c>
      <c r="L805" s="1">
        <v>39.31</v>
      </c>
      <c r="M805" s="1">
        <v>22</v>
      </c>
      <c r="N805" s="1" t="s">
        <v>19</v>
      </c>
      <c r="O805" s="1" t="s">
        <v>46</v>
      </c>
    </row>
    <row r="806" spans="1:15" x14ac:dyDescent="0.25">
      <c r="A806" s="1">
        <v>100990</v>
      </c>
      <c r="B806" s="2">
        <v>45644</v>
      </c>
      <c r="C806" s="1" t="s">
        <v>847</v>
      </c>
      <c r="D806" s="1" t="s">
        <v>45</v>
      </c>
      <c r="E806" s="1" t="s">
        <v>30</v>
      </c>
      <c r="F806" s="1" t="s">
        <v>1240</v>
      </c>
      <c r="G806" s="1" t="s">
        <v>31</v>
      </c>
      <c r="H806" s="1">
        <v>2</v>
      </c>
      <c r="I806" s="1">
        <v>16.89</v>
      </c>
      <c r="J806" s="1">
        <v>5</v>
      </c>
      <c r="K806" s="1">
        <v>32.090000000000003</v>
      </c>
      <c r="L806" s="1">
        <v>11.62</v>
      </c>
      <c r="M806" s="1">
        <v>40</v>
      </c>
      <c r="N806" s="1" t="s">
        <v>19</v>
      </c>
      <c r="O806" s="1" t="s">
        <v>81</v>
      </c>
    </row>
    <row r="807" spans="1:15" x14ac:dyDescent="0.25">
      <c r="A807" s="1">
        <v>100052</v>
      </c>
      <c r="B807" s="2">
        <v>44978</v>
      </c>
      <c r="C807" s="1" t="s">
        <v>848</v>
      </c>
      <c r="D807" s="1" t="s">
        <v>45</v>
      </c>
      <c r="E807" s="1" t="s">
        <v>30</v>
      </c>
      <c r="F807" s="1" t="s">
        <v>1254</v>
      </c>
      <c r="G807" s="1" t="s">
        <v>31</v>
      </c>
      <c r="H807" s="1">
        <v>4</v>
      </c>
      <c r="I807" s="1">
        <v>15.78</v>
      </c>
      <c r="J807" s="1">
        <v>20</v>
      </c>
      <c r="K807" s="1">
        <v>50.5</v>
      </c>
      <c r="L807" s="1">
        <v>17.11</v>
      </c>
      <c r="M807" s="1">
        <v>35</v>
      </c>
      <c r="N807" s="1" t="s">
        <v>19</v>
      </c>
      <c r="O807" s="1" t="s">
        <v>43</v>
      </c>
    </row>
    <row r="808" spans="1:15" x14ac:dyDescent="0.25">
      <c r="A808" s="1">
        <v>100263</v>
      </c>
      <c r="B808" s="2">
        <v>45504</v>
      </c>
      <c r="C808" s="1" t="s">
        <v>849</v>
      </c>
      <c r="D808" s="1" t="s">
        <v>37</v>
      </c>
      <c r="E808" s="1" t="s">
        <v>17</v>
      </c>
      <c r="F808" s="1" t="s">
        <v>1254</v>
      </c>
      <c r="G808" s="1" t="s">
        <v>31</v>
      </c>
      <c r="H808" s="1">
        <v>4</v>
      </c>
      <c r="I808" s="1">
        <v>70.349999999999994</v>
      </c>
      <c r="J808" s="1">
        <v>0</v>
      </c>
      <c r="K808" s="1">
        <v>281.39999999999998</v>
      </c>
      <c r="L808" s="1">
        <v>82.79</v>
      </c>
      <c r="M808" s="1">
        <v>26</v>
      </c>
      <c r="N808" s="1" t="s">
        <v>26</v>
      </c>
      <c r="O808" s="1" t="s">
        <v>32</v>
      </c>
    </row>
    <row r="809" spans="1:15" x14ac:dyDescent="0.2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x14ac:dyDescent="0.2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x14ac:dyDescent="0.2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x14ac:dyDescent="0.25">
      <c r="A812" s="1">
        <v>100782</v>
      </c>
      <c r="B812" s="2">
        <v>45662</v>
      </c>
      <c r="C812" s="1" t="s">
        <v>853</v>
      </c>
      <c r="D812" s="1" t="s">
        <v>56</v>
      </c>
      <c r="E812" s="1" t="s">
        <v>30</v>
      </c>
      <c r="F812" s="1" t="s">
        <v>1254</v>
      </c>
      <c r="G812" s="1" t="s">
        <v>31</v>
      </c>
      <c r="H812" s="1">
        <v>1</v>
      </c>
      <c r="I812" s="1">
        <v>41.95</v>
      </c>
      <c r="J812" s="1">
        <v>5</v>
      </c>
      <c r="K812" s="1">
        <v>39.85</v>
      </c>
      <c r="L812" s="1">
        <v>11.52</v>
      </c>
      <c r="M812" s="1">
        <v>29</v>
      </c>
      <c r="N812" s="1" t="s">
        <v>19</v>
      </c>
      <c r="O812" s="1" t="s">
        <v>27</v>
      </c>
    </row>
    <row r="813" spans="1:15" x14ac:dyDescent="0.25">
      <c r="A813" s="1">
        <v>100846</v>
      </c>
      <c r="B813" s="2">
        <v>45638</v>
      </c>
      <c r="C813" s="1" t="s">
        <v>854</v>
      </c>
      <c r="D813" s="1" t="s">
        <v>73</v>
      </c>
      <c r="E813" s="1" t="s">
        <v>25</v>
      </c>
      <c r="F813" s="1" t="s">
        <v>1240</v>
      </c>
      <c r="G813" s="1" t="s">
        <v>18</v>
      </c>
      <c r="H813" s="1">
        <v>2</v>
      </c>
      <c r="I813" s="1">
        <v>32.4</v>
      </c>
      <c r="J813" s="1">
        <v>5</v>
      </c>
      <c r="K813" s="1">
        <v>61.56</v>
      </c>
      <c r="L813" s="1">
        <v>16.649999999999999</v>
      </c>
      <c r="M813" s="1">
        <v>40</v>
      </c>
      <c r="N813" s="1" t="s">
        <v>19</v>
      </c>
      <c r="O813" s="1" t="s">
        <v>27</v>
      </c>
    </row>
    <row r="814" spans="1:15" x14ac:dyDescent="0.25">
      <c r="A814" s="1">
        <v>100691</v>
      </c>
      <c r="B814" s="2">
        <v>45173</v>
      </c>
      <c r="C814" s="1" t="s">
        <v>855</v>
      </c>
      <c r="D814" s="1" t="s">
        <v>24</v>
      </c>
      <c r="E814" s="1" t="s">
        <v>25</v>
      </c>
      <c r="F814" s="1" t="s">
        <v>1240</v>
      </c>
      <c r="G814" s="1" t="s">
        <v>31</v>
      </c>
      <c r="H814" s="1">
        <v>2</v>
      </c>
      <c r="I814" s="1">
        <v>105.28</v>
      </c>
      <c r="J814" s="1">
        <v>0</v>
      </c>
      <c r="K814" s="1">
        <v>210.56</v>
      </c>
      <c r="L814" s="1">
        <v>67.63</v>
      </c>
      <c r="M814" s="1">
        <v>30</v>
      </c>
      <c r="N814" s="1" t="s">
        <v>19</v>
      </c>
      <c r="O814" s="1" t="s">
        <v>35</v>
      </c>
    </row>
    <row r="815" spans="1:15" x14ac:dyDescent="0.25">
      <c r="A815" s="1">
        <v>100304</v>
      </c>
      <c r="B815" s="2">
        <v>45900</v>
      </c>
      <c r="C815" s="1" t="s">
        <v>856</v>
      </c>
      <c r="D815" s="1" t="s">
        <v>53</v>
      </c>
      <c r="E815" s="1" t="s">
        <v>30</v>
      </c>
      <c r="F815" s="1" t="s">
        <v>1240</v>
      </c>
      <c r="G815" s="1" t="s">
        <v>31</v>
      </c>
      <c r="H815" s="1">
        <v>3</v>
      </c>
      <c r="I815" s="1">
        <v>20.86</v>
      </c>
      <c r="J815" s="1">
        <v>5</v>
      </c>
      <c r="K815" s="1">
        <v>59.45</v>
      </c>
      <c r="L815" s="1">
        <v>19.37</v>
      </c>
      <c r="M815" s="1">
        <v>26</v>
      </c>
      <c r="N815" s="1" t="s">
        <v>19</v>
      </c>
      <c r="O815" s="1" t="s">
        <v>46</v>
      </c>
    </row>
    <row r="816" spans="1:15" x14ac:dyDescent="0.2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x14ac:dyDescent="0.2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x14ac:dyDescent="0.2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x14ac:dyDescent="0.25">
      <c r="A819" s="1">
        <v>100149</v>
      </c>
      <c r="B819" s="2">
        <v>45244</v>
      </c>
      <c r="C819" s="1" t="s">
        <v>860</v>
      </c>
      <c r="D819" s="1" t="s">
        <v>29</v>
      </c>
      <c r="E819" s="1" t="s">
        <v>30</v>
      </c>
      <c r="F819" s="1" t="s">
        <v>1240</v>
      </c>
      <c r="G819" s="1" t="s">
        <v>48</v>
      </c>
      <c r="H819" s="1">
        <v>2</v>
      </c>
      <c r="I819" s="1">
        <v>18.3</v>
      </c>
      <c r="J819" s="1">
        <v>5</v>
      </c>
      <c r="K819" s="1">
        <v>34.770000000000003</v>
      </c>
      <c r="L819" s="1">
        <v>8.84</v>
      </c>
      <c r="M819" s="1">
        <v>38</v>
      </c>
      <c r="N819" s="1" t="s">
        <v>26</v>
      </c>
      <c r="O819" s="1" t="s">
        <v>27</v>
      </c>
    </row>
    <row r="820" spans="1:15" x14ac:dyDescent="0.2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x14ac:dyDescent="0.25">
      <c r="A821" s="1">
        <v>101062</v>
      </c>
      <c r="B821" s="2">
        <v>45100</v>
      </c>
      <c r="C821" s="1" t="s">
        <v>862</v>
      </c>
      <c r="D821" s="1" t="s">
        <v>87</v>
      </c>
      <c r="E821" s="1" t="s">
        <v>25</v>
      </c>
      <c r="F821" s="1" t="s">
        <v>1239</v>
      </c>
      <c r="G821" s="1" t="s">
        <v>18</v>
      </c>
      <c r="H821" s="1">
        <v>5</v>
      </c>
      <c r="I821" s="1">
        <v>77.63</v>
      </c>
      <c r="J821" s="1">
        <v>20</v>
      </c>
      <c r="K821" s="1">
        <v>310.52</v>
      </c>
      <c r="L821" s="1">
        <v>95.06</v>
      </c>
      <c r="M821" s="1">
        <v>21</v>
      </c>
      <c r="N821" s="1" t="s">
        <v>26</v>
      </c>
      <c r="O821" s="1" t="s">
        <v>43</v>
      </c>
    </row>
    <row r="822" spans="1:15" x14ac:dyDescent="0.2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x14ac:dyDescent="0.2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x14ac:dyDescent="0.25">
      <c r="A824" s="1">
        <v>100664</v>
      </c>
      <c r="B824" s="2">
        <v>45574</v>
      </c>
      <c r="C824" s="1" t="s">
        <v>865</v>
      </c>
      <c r="D824" s="1" t="s">
        <v>24</v>
      </c>
      <c r="E824" s="1" t="s">
        <v>25</v>
      </c>
      <c r="F824" s="1" t="s">
        <v>1254</v>
      </c>
      <c r="G824" s="1" t="s">
        <v>18</v>
      </c>
      <c r="H824" s="1">
        <v>1</v>
      </c>
      <c r="I824" s="1">
        <v>102.55</v>
      </c>
      <c r="J824" s="1">
        <v>5</v>
      </c>
      <c r="K824" s="1">
        <v>97.42</v>
      </c>
      <c r="L824" s="1">
        <v>24.8</v>
      </c>
      <c r="M824" s="1">
        <v>35</v>
      </c>
      <c r="N824" s="1" t="s">
        <v>19</v>
      </c>
      <c r="O824" s="1" t="s">
        <v>20</v>
      </c>
    </row>
    <row r="825" spans="1:15" x14ac:dyDescent="0.2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x14ac:dyDescent="0.25">
      <c r="A826" s="1">
        <v>100726</v>
      </c>
      <c r="B826" s="2">
        <v>45348</v>
      </c>
      <c r="C826" s="1" t="s">
        <v>867</v>
      </c>
      <c r="D826" s="1" t="s">
        <v>66</v>
      </c>
      <c r="E826" s="1" t="s">
        <v>17</v>
      </c>
      <c r="F826" s="1" t="s">
        <v>1240</v>
      </c>
      <c r="G826" s="1" t="s">
        <v>18</v>
      </c>
      <c r="H826" s="1">
        <v>3</v>
      </c>
      <c r="I826" s="1">
        <v>127.14</v>
      </c>
      <c r="J826" s="1">
        <v>0</v>
      </c>
      <c r="K826" s="1">
        <v>381.42</v>
      </c>
      <c r="L826" s="1">
        <v>87.74</v>
      </c>
      <c r="M826" s="1">
        <v>29</v>
      </c>
      <c r="N826" s="1" t="s">
        <v>26</v>
      </c>
      <c r="O826" s="1" t="s">
        <v>51</v>
      </c>
    </row>
    <row r="827" spans="1:15" x14ac:dyDescent="0.25">
      <c r="A827" s="1">
        <v>100799</v>
      </c>
      <c r="B827" s="2">
        <v>45143</v>
      </c>
      <c r="C827" s="1" t="s">
        <v>868</v>
      </c>
      <c r="D827" s="1" t="s">
        <v>70</v>
      </c>
      <c r="E827" s="1" t="s">
        <v>25</v>
      </c>
      <c r="F827" s="1" t="s">
        <v>1240</v>
      </c>
      <c r="G827" s="1" t="s">
        <v>31</v>
      </c>
      <c r="H827" s="1">
        <v>3</v>
      </c>
      <c r="I827" s="1">
        <v>142.84</v>
      </c>
      <c r="J827" s="1">
        <v>0</v>
      </c>
      <c r="K827" s="1">
        <v>428.52</v>
      </c>
      <c r="L827" s="1">
        <v>125.72</v>
      </c>
      <c r="M827" s="1">
        <v>25</v>
      </c>
      <c r="N827" s="1" t="s">
        <v>19</v>
      </c>
      <c r="O827" s="1" t="s">
        <v>32</v>
      </c>
    </row>
    <row r="828" spans="1:15" x14ac:dyDescent="0.25">
      <c r="A828" s="1">
        <v>100353</v>
      </c>
      <c r="B828" s="2">
        <v>45019</v>
      </c>
      <c r="C828" s="1" t="s">
        <v>869</v>
      </c>
      <c r="D828" s="1" t="s">
        <v>70</v>
      </c>
      <c r="E828" s="1" t="s">
        <v>25</v>
      </c>
      <c r="F828" s="1" t="s">
        <v>1240</v>
      </c>
      <c r="G828" s="1" t="s">
        <v>31</v>
      </c>
      <c r="H828" s="1">
        <v>3</v>
      </c>
      <c r="I828" s="1">
        <v>148.06</v>
      </c>
      <c r="J828" s="1">
        <v>20</v>
      </c>
      <c r="K828" s="1">
        <v>355.34</v>
      </c>
      <c r="L828" s="1">
        <v>76.69</v>
      </c>
      <c r="M828" s="1">
        <v>23</v>
      </c>
      <c r="N828" s="1" t="s">
        <v>26</v>
      </c>
      <c r="O828" s="1" t="s">
        <v>51</v>
      </c>
    </row>
    <row r="829" spans="1:15" x14ac:dyDescent="0.2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x14ac:dyDescent="0.2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x14ac:dyDescent="0.25">
      <c r="A831" s="1">
        <v>100470</v>
      </c>
      <c r="B831" s="2">
        <v>45866</v>
      </c>
      <c r="C831" s="1" t="s">
        <v>872</v>
      </c>
      <c r="D831" s="1" t="s">
        <v>29</v>
      </c>
      <c r="E831" s="1" t="s">
        <v>30</v>
      </c>
      <c r="F831" s="1" t="s">
        <v>1240</v>
      </c>
      <c r="G831" s="1" t="s">
        <v>31</v>
      </c>
      <c r="H831" s="1">
        <v>3</v>
      </c>
      <c r="I831" s="1">
        <v>18.14</v>
      </c>
      <c r="J831" s="1">
        <v>0</v>
      </c>
      <c r="K831" s="1">
        <v>54.42</v>
      </c>
      <c r="L831" s="1">
        <v>11.64</v>
      </c>
      <c r="M831" s="1">
        <v>33</v>
      </c>
      <c r="N831" s="1" t="s">
        <v>26</v>
      </c>
      <c r="O831" s="1" t="s">
        <v>20</v>
      </c>
    </row>
    <row r="832" spans="1:15" x14ac:dyDescent="0.25">
      <c r="A832" s="1">
        <v>100653</v>
      </c>
      <c r="B832" s="2">
        <v>45620</v>
      </c>
      <c r="C832" s="1" t="s">
        <v>873</v>
      </c>
      <c r="D832" s="1" t="s">
        <v>42</v>
      </c>
      <c r="E832" s="1" t="s">
        <v>25</v>
      </c>
      <c r="F832" s="1" t="s">
        <v>1240</v>
      </c>
      <c r="G832" s="1" t="s">
        <v>18</v>
      </c>
      <c r="H832" s="1">
        <v>3</v>
      </c>
      <c r="I832" s="1">
        <v>166.49</v>
      </c>
      <c r="J832" s="1">
        <v>5</v>
      </c>
      <c r="K832" s="1">
        <v>474.5</v>
      </c>
      <c r="L832" s="1">
        <v>134.59</v>
      </c>
      <c r="M832" s="1">
        <v>28</v>
      </c>
      <c r="N832" s="1" t="s">
        <v>26</v>
      </c>
      <c r="O832" s="1" t="s">
        <v>32</v>
      </c>
    </row>
    <row r="833" spans="1:15" x14ac:dyDescent="0.25">
      <c r="A833" s="1">
        <v>100399</v>
      </c>
      <c r="B833" s="2">
        <v>45277</v>
      </c>
      <c r="C833" s="1" t="s">
        <v>874</v>
      </c>
      <c r="D833" s="1" t="s">
        <v>34</v>
      </c>
      <c r="E833" s="1" t="s">
        <v>30</v>
      </c>
      <c r="F833" s="1" t="s">
        <v>1254</v>
      </c>
      <c r="G833" s="1" t="s">
        <v>64</v>
      </c>
      <c r="H833" s="1">
        <v>3</v>
      </c>
      <c r="I833" s="1">
        <v>59.8</v>
      </c>
      <c r="J833" s="1">
        <v>0</v>
      </c>
      <c r="K833" s="1">
        <v>179.4</v>
      </c>
      <c r="L833" s="1">
        <v>68.19</v>
      </c>
      <c r="M833" s="1">
        <v>35</v>
      </c>
      <c r="N833" s="1" t="s">
        <v>26</v>
      </c>
      <c r="O833" s="1" t="s">
        <v>35</v>
      </c>
    </row>
    <row r="834" spans="1:15" x14ac:dyDescent="0.25">
      <c r="A834" s="1">
        <v>101153</v>
      </c>
      <c r="B834" s="2">
        <v>45447</v>
      </c>
      <c r="C834" s="1" t="s">
        <v>875</v>
      </c>
      <c r="D834" s="1" t="s">
        <v>66</v>
      </c>
      <c r="E834" s="1" t="s">
        <v>17</v>
      </c>
      <c r="F834" s="1" t="s">
        <v>1240</v>
      </c>
      <c r="G834" s="1" t="s">
        <v>18</v>
      </c>
      <c r="H834" s="1">
        <v>1</v>
      </c>
      <c r="I834" s="1">
        <v>111.64</v>
      </c>
      <c r="J834" s="1">
        <v>10</v>
      </c>
      <c r="K834" s="1">
        <v>100.48</v>
      </c>
      <c r="L834" s="1">
        <v>23.81</v>
      </c>
      <c r="M834" s="1">
        <v>27</v>
      </c>
      <c r="N834" s="1" t="s">
        <v>19</v>
      </c>
      <c r="O834" s="1" t="s">
        <v>32</v>
      </c>
    </row>
    <row r="835" spans="1:15" x14ac:dyDescent="0.2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x14ac:dyDescent="0.2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x14ac:dyDescent="0.25">
      <c r="A837" s="1">
        <v>100019</v>
      </c>
      <c r="B837" s="2">
        <v>44996</v>
      </c>
      <c r="C837" s="1" t="s">
        <v>878</v>
      </c>
      <c r="D837" s="1" t="s">
        <v>70</v>
      </c>
      <c r="E837" s="1" t="s">
        <v>25</v>
      </c>
      <c r="F837" s="1" t="s">
        <v>1240</v>
      </c>
      <c r="G837" s="1" t="s">
        <v>18</v>
      </c>
      <c r="H837" s="1">
        <v>2</v>
      </c>
      <c r="I837" s="1">
        <v>154.15</v>
      </c>
      <c r="J837" s="1">
        <v>0</v>
      </c>
      <c r="K837" s="1">
        <v>308.3</v>
      </c>
      <c r="L837" s="1">
        <v>99.47</v>
      </c>
      <c r="M837" s="1">
        <v>28</v>
      </c>
      <c r="N837" s="1" t="s">
        <v>19</v>
      </c>
      <c r="O837" s="1" t="s">
        <v>51</v>
      </c>
    </row>
    <row r="838" spans="1:15" x14ac:dyDescent="0.2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x14ac:dyDescent="0.2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x14ac:dyDescent="0.25">
      <c r="A840" s="1">
        <v>100824</v>
      </c>
      <c r="B840" s="2">
        <v>45774</v>
      </c>
      <c r="C840" s="1" t="s">
        <v>881</v>
      </c>
      <c r="D840" s="1" t="s">
        <v>56</v>
      </c>
      <c r="E840" s="1" t="s">
        <v>30</v>
      </c>
      <c r="F840" s="1" t="s">
        <v>1240</v>
      </c>
      <c r="G840" s="1" t="s">
        <v>18</v>
      </c>
      <c r="H840" s="1">
        <v>3</v>
      </c>
      <c r="I840" s="1">
        <v>47.75</v>
      </c>
      <c r="J840" s="1">
        <v>10</v>
      </c>
      <c r="K840" s="1">
        <v>128.93</v>
      </c>
      <c r="L840" s="1">
        <v>47.16</v>
      </c>
      <c r="M840" s="1">
        <v>33</v>
      </c>
      <c r="N840" s="1" t="s">
        <v>19</v>
      </c>
      <c r="O840" s="1" t="s">
        <v>27</v>
      </c>
    </row>
    <row r="841" spans="1:15" x14ac:dyDescent="0.2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x14ac:dyDescent="0.25">
      <c r="A842" s="1">
        <v>100827</v>
      </c>
      <c r="B842" s="2">
        <v>45770</v>
      </c>
      <c r="C842" s="1" t="s">
        <v>883</v>
      </c>
      <c r="D842" s="1" t="s">
        <v>45</v>
      </c>
      <c r="E842" s="1" t="s">
        <v>30</v>
      </c>
      <c r="F842" s="1" t="s">
        <v>1240</v>
      </c>
      <c r="G842" s="1" t="s">
        <v>31</v>
      </c>
      <c r="H842" s="1">
        <v>4</v>
      </c>
      <c r="I842" s="1">
        <v>12</v>
      </c>
      <c r="J842" s="1">
        <v>10</v>
      </c>
      <c r="K842" s="1">
        <v>43.2</v>
      </c>
      <c r="L842" s="1">
        <v>13.2</v>
      </c>
      <c r="M842" s="1">
        <v>16</v>
      </c>
      <c r="N842" s="1" t="s">
        <v>19</v>
      </c>
      <c r="O842" s="1" t="s">
        <v>43</v>
      </c>
    </row>
    <row r="843" spans="1:15" x14ac:dyDescent="0.25">
      <c r="A843" s="1">
        <v>101070</v>
      </c>
      <c r="B843" s="2">
        <v>45297</v>
      </c>
      <c r="C843" s="1" t="s">
        <v>884</v>
      </c>
      <c r="D843" s="1" t="s">
        <v>39</v>
      </c>
      <c r="E843" s="1" t="s">
        <v>25</v>
      </c>
      <c r="F843" s="1" t="s">
        <v>1254</v>
      </c>
      <c r="G843" s="1" t="s">
        <v>18</v>
      </c>
      <c r="H843" s="1">
        <v>5</v>
      </c>
      <c r="I843" s="1">
        <v>185.68</v>
      </c>
      <c r="J843" s="1">
        <v>20</v>
      </c>
      <c r="K843" s="1">
        <v>742.72</v>
      </c>
      <c r="L843" s="1">
        <v>207.01</v>
      </c>
      <c r="M843" s="1">
        <v>24</v>
      </c>
      <c r="N843" s="1" t="s">
        <v>26</v>
      </c>
      <c r="O843" s="1" t="s">
        <v>35</v>
      </c>
    </row>
    <row r="844" spans="1:15" x14ac:dyDescent="0.2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x14ac:dyDescent="0.2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x14ac:dyDescent="0.25">
      <c r="A846" s="1">
        <v>100537</v>
      </c>
      <c r="B846" s="2">
        <v>45522</v>
      </c>
      <c r="C846" s="1" t="s">
        <v>887</v>
      </c>
      <c r="D846" s="1" t="s">
        <v>53</v>
      </c>
      <c r="E846" s="1" t="s">
        <v>30</v>
      </c>
      <c r="F846" s="1" t="s">
        <v>1240</v>
      </c>
      <c r="G846" s="1" t="s">
        <v>31</v>
      </c>
      <c r="H846" s="1">
        <v>3</v>
      </c>
      <c r="I846" s="1">
        <v>21.54</v>
      </c>
      <c r="J846" s="1">
        <v>0</v>
      </c>
      <c r="K846" s="1">
        <v>64.62</v>
      </c>
      <c r="L846" s="1">
        <v>17.09</v>
      </c>
      <c r="M846" s="1">
        <v>24</v>
      </c>
      <c r="N846" s="1" t="s">
        <v>26</v>
      </c>
      <c r="O846" s="1" t="s">
        <v>46</v>
      </c>
    </row>
    <row r="847" spans="1:15" x14ac:dyDescent="0.2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x14ac:dyDescent="0.25">
      <c r="A848" s="1">
        <v>101068</v>
      </c>
      <c r="B848" s="2">
        <v>45543</v>
      </c>
      <c r="C848" s="1" t="s">
        <v>889</v>
      </c>
      <c r="D848" s="1" t="s">
        <v>66</v>
      </c>
      <c r="E848" s="1" t="s">
        <v>17</v>
      </c>
      <c r="F848" s="1" t="s">
        <v>1239</v>
      </c>
      <c r="G848" s="1" t="s">
        <v>64</v>
      </c>
      <c r="H848" s="1">
        <v>3</v>
      </c>
      <c r="I848" s="1">
        <v>112.57</v>
      </c>
      <c r="J848" s="1">
        <v>10</v>
      </c>
      <c r="K848" s="1">
        <v>303.94</v>
      </c>
      <c r="L848" s="1">
        <v>119.73</v>
      </c>
      <c r="M848" s="1">
        <v>16</v>
      </c>
      <c r="N848" s="1" t="s">
        <v>26</v>
      </c>
      <c r="O848" s="1" t="s">
        <v>46</v>
      </c>
    </row>
    <row r="849" spans="1:15" x14ac:dyDescent="0.25">
      <c r="A849" s="1">
        <v>100892</v>
      </c>
      <c r="B849" s="2">
        <v>45120</v>
      </c>
      <c r="C849" s="1" t="s">
        <v>890</v>
      </c>
      <c r="D849" s="1" t="s">
        <v>53</v>
      </c>
      <c r="E849" s="1" t="s">
        <v>30</v>
      </c>
      <c r="F849" s="1" t="s">
        <v>1239</v>
      </c>
      <c r="G849" s="1" t="s">
        <v>31</v>
      </c>
      <c r="H849" s="1">
        <v>1</v>
      </c>
      <c r="I849" s="1">
        <v>23.81</v>
      </c>
      <c r="J849" s="1">
        <v>0</v>
      </c>
      <c r="K849" s="1">
        <v>23.81</v>
      </c>
      <c r="L849" s="1">
        <v>9.19</v>
      </c>
      <c r="M849" s="1">
        <v>40</v>
      </c>
      <c r="N849" s="1" t="s">
        <v>26</v>
      </c>
      <c r="O849" s="1" t="s">
        <v>43</v>
      </c>
    </row>
    <row r="850" spans="1:15" x14ac:dyDescent="0.2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x14ac:dyDescent="0.2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x14ac:dyDescent="0.2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x14ac:dyDescent="0.2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x14ac:dyDescent="0.25">
      <c r="A854" s="1">
        <v>101084</v>
      </c>
      <c r="B854" s="2">
        <v>44935</v>
      </c>
      <c r="C854" s="1" t="s">
        <v>895</v>
      </c>
      <c r="D854" s="1" t="s">
        <v>59</v>
      </c>
      <c r="E854" s="1" t="s">
        <v>17</v>
      </c>
      <c r="F854" s="1" t="s">
        <v>1239</v>
      </c>
      <c r="G854" s="1" t="s">
        <v>31</v>
      </c>
      <c r="H854" s="1">
        <v>4</v>
      </c>
      <c r="I854" s="1">
        <v>29.67</v>
      </c>
      <c r="J854" s="1">
        <v>0</v>
      </c>
      <c r="K854" s="1">
        <v>118.68</v>
      </c>
      <c r="L854" s="1">
        <v>37.44</v>
      </c>
      <c r="M854" s="1">
        <v>16</v>
      </c>
      <c r="N854" s="1" t="s">
        <v>26</v>
      </c>
      <c r="O854" s="1" t="s">
        <v>32</v>
      </c>
    </row>
    <row r="855" spans="1:15" x14ac:dyDescent="0.25">
      <c r="A855" s="1">
        <v>101077</v>
      </c>
      <c r="B855" s="2">
        <v>45779</v>
      </c>
      <c r="C855" s="1" t="s">
        <v>896</v>
      </c>
      <c r="D855" s="1" t="s">
        <v>34</v>
      </c>
      <c r="E855" s="1" t="s">
        <v>30</v>
      </c>
      <c r="F855" s="1" t="s">
        <v>1254</v>
      </c>
      <c r="G855" s="1" t="s">
        <v>31</v>
      </c>
      <c r="H855" s="1">
        <v>1</v>
      </c>
      <c r="I855" s="1">
        <v>60.97</v>
      </c>
      <c r="J855" s="1">
        <v>0</v>
      </c>
      <c r="K855" s="1">
        <v>60.97</v>
      </c>
      <c r="L855" s="1">
        <v>14.81</v>
      </c>
      <c r="M855" s="1">
        <v>29</v>
      </c>
      <c r="N855" s="1" t="s">
        <v>19</v>
      </c>
      <c r="O855" s="1" t="s">
        <v>20</v>
      </c>
    </row>
    <row r="856" spans="1:15" x14ac:dyDescent="0.25">
      <c r="A856" s="1">
        <v>100784</v>
      </c>
      <c r="B856" s="2">
        <v>45355</v>
      </c>
      <c r="C856" s="1" t="s">
        <v>897</v>
      </c>
      <c r="D856" s="1" t="s">
        <v>42</v>
      </c>
      <c r="E856" s="1" t="s">
        <v>25</v>
      </c>
      <c r="F856" s="1" t="s">
        <v>1240</v>
      </c>
      <c r="G856" s="1" t="s">
        <v>18</v>
      </c>
      <c r="H856" s="1">
        <v>5</v>
      </c>
      <c r="I856" s="1">
        <v>176.44</v>
      </c>
      <c r="J856" s="1">
        <v>5</v>
      </c>
      <c r="K856" s="1">
        <v>838.09</v>
      </c>
      <c r="L856" s="1">
        <v>149.75</v>
      </c>
      <c r="M856" s="1">
        <v>35</v>
      </c>
      <c r="N856" s="1" t="s">
        <v>26</v>
      </c>
      <c r="O856" s="1" t="s">
        <v>46</v>
      </c>
    </row>
    <row r="857" spans="1:15" x14ac:dyDescent="0.25">
      <c r="A857" s="1">
        <v>101184</v>
      </c>
      <c r="B857" s="2">
        <v>45779</v>
      </c>
      <c r="C857" s="1" t="s">
        <v>898</v>
      </c>
      <c r="D857" s="1" t="s">
        <v>56</v>
      </c>
      <c r="E857" s="1" t="s">
        <v>30</v>
      </c>
      <c r="F857" s="1" t="s">
        <v>1240</v>
      </c>
      <c r="G857" s="1" t="s">
        <v>18</v>
      </c>
      <c r="H857" s="1">
        <v>3</v>
      </c>
      <c r="I857" s="1">
        <v>49.69</v>
      </c>
      <c r="J857" s="1">
        <v>5</v>
      </c>
      <c r="K857" s="1">
        <v>141.62</v>
      </c>
      <c r="L857" s="1">
        <v>39.880000000000003</v>
      </c>
      <c r="M857" s="1">
        <v>28</v>
      </c>
      <c r="N857" s="1" t="s">
        <v>26</v>
      </c>
      <c r="O857" s="1" t="s">
        <v>35</v>
      </c>
    </row>
    <row r="858" spans="1:15" x14ac:dyDescent="0.2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x14ac:dyDescent="0.25">
      <c r="A859" s="1">
        <v>100154</v>
      </c>
      <c r="B859" s="2">
        <v>45023</v>
      </c>
      <c r="C859" s="1" t="s">
        <v>900</v>
      </c>
      <c r="D859" s="1" t="s">
        <v>45</v>
      </c>
      <c r="E859" s="1" t="s">
        <v>30</v>
      </c>
      <c r="F859" s="1" t="s">
        <v>1240</v>
      </c>
      <c r="G859" s="1" t="s">
        <v>31</v>
      </c>
      <c r="H859" s="1">
        <v>6</v>
      </c>
      <c r="I859" s="1">
        <v>14.38</v>
      </c>
      <c r="J859" s="1">
        <v>0</v>
      </c>
      <c r="K859" s="1">
        <v>86.28</v>
      </c>
      <c r="L859" s="1">
        <v>36.979999999999997</v>
      </c>
      <c r="M859" s="1">
        <v>42</v>
      </c>
      <c r="N859" s="1" t="s">
        <v>19</v>
      </c>
      <c r="O859" s="1" t="s">
        <v>35</v>
      </c>
    </row>
    <row r="860" spans="1:15" x14ac:dyDescent="0.2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x14ac:dyDescent="0.2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x14ac:dyDescent="0.2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x14ac:dyDescent="0.25">
      <c r="A863" s="1">
        <v>100287</v>
      </c>
      <c r="B863" s="2">
        <v>45332</v>
      </c>
      <c r="C863" s="1" t="s">
        <v>903</v>
      </c>
      <c r="D863" s="1" t="s">
        <v>39</v>
      </c>
      <c r="E863" s="1" t="s">
        <v>25</v>
      </c>
      <c r="F863" s="1" t="s">
        <v>1254</v>
      </c>
      <c r="G863" s="1" t="s">
        <v>18</v>
      </c>
      <c r="H863" s="1">
        <v>1</v>
      </c>
      <c r="I863" s="1">
        <v>153.12</v>
      </c>
      <c r="J863" s="1">
        <v>0</v>
      </c>
      <c r="K863" s="1">
        <v>153.12</v>
      </c>
      <c r="L863" s="1">
        <v>49.61</v>
      </c>
      <c r="M863" s="1">
        <v>19</v>
      </c>
      <c r="N863" s="1" t="s">
        <v>26</v>
      </c>
      <c r="O863" s="1" t="s">
        <v>81</v>
      </c>
    </row>
    <row r="864" spans="1:15" x14ac:dyDescent="0.2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x14ac:dyDescent="0.25">
      <c r="A865" s="1">
        <v>101199</v>
      </c>
      <c r="B865" s="2">
        <v>45275</v>
      </c>
      <c r="C865" s="1" t="s">
        <v>905</v>
      </c>
      <c r="D865" s="1" t="s">
        <v>42</v>
      </c>
      <c r="E865" s="1" t="s">
        <v>25</v>
      </c>
      <c r="F865" s="1" t="s">
        <v>1239</v>
      </c>
      <c r="G865" s="1" t="s">
        <v>31</v>
      </c>
      <c r="H865" s="1">
        <v>2</v>
      </c>
      <c r="I865" s="1">
        <v>176.23</v>
      </c>
      <c r="J865" s="1">
        <v>0</v>
      </c>
      <c r="K865" s="1">
        <v>352.46</v>
      </c>
      <c r="L865" s="1">
        <v>120.59</v>
      </c>
      <c r="M865" s="1">
        <v>36</v>
      </c>
      <c r="N865" s="1" t="s">
        <v>26</v>
      </c>
      <c r="O865" s="1" t="s">
        <v>51</v>
      </c>
    </row>
    <row r="866" spans="1:15" x14ac:dyDescent="0.2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x14ac:dyDescent="0.25">
      <c r="A867" s="1">
        <v>100872</v>
      </c>
      <c r="B867" s="2">
        <v>45306</v>
      </c>
      <c r="C867" s="1" t="s">
        <v>907</v>
      </c>
      <c r="D867" s="1" t="s">
        <v>73</v>
      </c>
      <c r="E867" s="1" t="s">
        <v>25</v>
      </c>
      <c r="F867" s="1" t="s">
        <v>1240</v>
      </c>
      <c r="G867" s="1" t="s">
        <v>18</v>
      </c>
      <c r="H867" s="1">
        <v>4</v>
      </c>
      <c r="I867" s="1">
        <v>32.76</v>
      </c>
      <c r="J867" s="1">
        <v>5</v>
      </c>
      <c r="K867" s="1">
        <v>124.49</v>
      </c>
      <c r="L867" s="1">
        <v>35.81</v>
      </c>
      <c r="M867" s="1">
        <v>27</v>
      </c>
      <c r="N867" s="1" t="s">
        <v>26</v>
      </c>
      <c r="O867" s="1" t="s">
        <v>43</v>
      </c>
    </row>
    <row r="868" spans="1:15" x14ac:dyDescent="0.25">
      <c r="A868" s="1">
        <v>100569</v>
      </c>
      <c r="B868" s="2">
        <v>45488</v>
      </c>
      <c r="C868" s="1" t="s">
        <v>908</v>
      </c>
      <c r="D868" s="1" t="s">
        <v>53</v>
      </c>
      <c r="E868" s="1" t="s">
        <v>30</v>
      </c>
      <c r="F868" s="1" t="s">
        <v>1239</v>
      </c>
      <c r="G868" s="1" t="s">
        <v>31</v>
      </c>
      <c r="H868" s="1">
        <v>5</v>
      </c>
      <c r="I868" s="1">
        <v>18.39</v>
      </c>
      <c r="J868" s="1">
        <v>0</v>
      </c>
      <c r="K868" s="1">
        <v>91.95</v>
      </c>
      <c r="L868" s="1">
        <v>27.35</v>
      </c>
      <c r="M868" s="1">
        <v>27</v>
      </c>
      <c r="N868" s="1" t="s">
        <v>19</v>
      </c>
      <c r="O868" s="1" t="s">
        <v>32</v>
      </c>
    </row>
    <row r="869" spans="1:15" x14ac:dyDescent="0.25">
      <c r="A869" s="1">
        <v>101143</v>
      </c>
      <c r="B869" s="2">
        <v>45831</v>
      </c>
      <c r="C869" s="1" t="s">
        <v>909</v>
      </c>
      <c r="D869" s="1" t="s">
        <v>70</v>
      </c>
      <c r="E869" s="1" t="s">
        <v>25</v>
      </c>
      <c r="F869" s="1" t="s">
        <v>1239</v>
      </c>
      <c r="G869" s="1" t="s">
        <v>18</v>
      </c>
      <c r="H869" s="1">
        <v>3</v>
      </c>
      <c r="I869" s="1">
        <v>141.38</v>
      </c>
      <c r="J869" s="1">
        <v>10</v>
      </c>
      <c r="K869" s="1">
        <v>381.73</v>
      </c>
      <c r="L869" s="1">
        <v>117.96</v>
      </c>
      <c r="M869" s="1">
        <v>24</v>
      </c>
      <c r="N869" s="1" t="s">
        <v>26</v>
      </c>
      <c r="O869" s="1" t="s">
        <v>32</v>
      </c>
    </row>
    <row r="870" spans="1:15" x14ac:dyDescent="0.25">
      <c r="A870" s="1">
        <v>100734</v>
      </c>
      <c r="B870" s="2">
        <v>45659</v>
      </c>
      <c r="C870" s="1" t="s">
        <v>910</v>
      </c>
      <c r="D870" s="1" t="s">
        <v>73</v>
      </c>
      <c r="E870" s="1" t="s">
        <v>25</v>
      </c>
      <c r="F870" s="1" t="s">
        <v>1240</v>
      </c>
      <c r="G870" s="1" t="s">
        <v>31</v>
      </c>
      <c r="H870" s="1">
        <v>2</v>
      </c>
      <c r="I870" s="1">
        <v>35.51</v>
      </c>
      <c r="J870" s="1">
        <v>0</v>
      </c>
      <c r="K870" s="1">
        <v>71.02</v>
      </c>
      <c r="L870" s="1">
        <v>25.62</v>
      </c>
      <c r="M870" s="1">
        <v>42</v>
      </c>
      <c r="N870" s="1" t="s">
        <v>26</v>
      </c>
      <c r="O870" s="1" t="s">
        <v>27</v>
      </c>
    </row>
    <row r="871" spans="1:15" x14ac:dyDescent="0.25">
      <c r="A871" s="1">
        <v>100792</v>
      </c>
      <c r="B871" s="2">
        <v>45709</v>
      </c>
      <c r="C871" s="1" t="s">
        <v>911</v>
      </c>
      <c r="D871" s="1" t="s">
        <v>68</v>
      </c>
      <c r="E871" s="1" t="s">
        <v>25</v>
      </c>
      <c r="F871" s="1" t="s">
        <v>1254</v>
      </c>
      <c r="G871" s="1" t="s">
        <v>31</v>
      </c>
      <c r="H871" s="1">
        <v>4</v>
      </c>
      <c r="I871" s="1">
        <v>252.89</v>
      </c>
      <c r="J871" s="1">
        <v>0</v>
      </c>
      <c r="K871" s="1">
        <v>1011.56</v>
      </c>
      <c r="L871" s="1">
        <v>324.7</v>
      </c>
      <c r="M871" s="1">
        <v>25</v>
      </c>
      <c r="N871" s="1" t="s">
        <v>26</v>
      </c>
      <c r="O871" s="1" t="s">
        <v>51</v>
      </c>
    </row>
    <row r="872" spans="1:15" x14ac:dyDescent="0.2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x14ac:dyDescent="0.25">
      <c r="A873" s="1">
        <v>100127</v>
      </c>
      <c r="B873" s="2">
        <v>45256</v>
      </c>
      <c r="C873" s="1" t="s">
        <v>913</v>
      </c>
      <c r="D873" s="1" t="s">
        <v>100</v>
      </c>
      <c r="E873" s="1" t="s">
        <v>25</v>
      </c>
      <c r="F873" s="1" t="s">
        <v>1240</v>
      </c>
      <c r="G873" s="1" t="s">
        <v>31</v>
      </c>
      <c r="H873" s="1">
        <v>2</v>
      </c>
      <c r="I873" s="1">
        <v>108.44</v>
      </c>
      <c r="J873" s="1">
        <v>10</v>
      </c>
      <c r="K873" s="1">
        <v>195.19</v>
      </c>
      <c r="L873" s="1">
        <v>44.82</v>
      </c>
      <c r="M873" s="1">
        <v>23</v>
      </c>
      <c r="N873" s="1" t="s">
        <v>19</v>
      </c>
      <c r="O873" s="1" t="s">
        <v>43</v>
      </c>
    </row>
    <row r="874" spans="1:15" x14ac:dyDescent="0.25">
      <c r="A874" s="1">
        <v>100322</v>
      </c>
      <c r="B874" s="2">
        <v>45674</v>
      </c>
      <c r="C874" s="1" t="s">
        <v>914</v>
      </c>
      <c r="D874" s="1" t="s">
        <v>37</v>
      </c>
      <c r="E874" s="1" t="s">
        <v>17</v>
      </c>
      <c r="F874" s="1" t="s">
        <v>1240</v>
      </c>
      <c r="G874" s="1" t="s">
        <v>18</v>
      </c>
      <c r="H874" s="1">
        <v>4</v>
      </c>
      <c r="I874" s="1">
        <v>74.05</v>
      </c>
      <c r="J874" s="1">
        <v>10</v>
      </c>
      <c r="K874" s="1">
        <v>266.58</v>
      </c>
      <c r="L874" s="1">
        <v>85.32</v>
      </c>
      <c r="M874" s="1">
        <v>22</v>
      </c>
      <c r="N874" s="1" t="s">
        <v>26</v>
      </c>
      <c r="O874" s="1" t="s">
        <v>81</v>
      </c>
    </row>
    <row r="875" spans="1:15" x14ac:dyDescent="0.25">
      <c r="A875" s="1">
        <v>100255</v>
      </c>
      <c r="B875" s="2">
        <v>45789</v>
      </c>
      <c r="C875" s="1" t="s">
        <v>915</v>
      </c>
      <c r="D875" s="1" t="s">
        <v>37</v>
      </c>
      <c r="E875" s="1" t="s">
        <v>17</v>
      </c>
      <c r="F875" s="1" t="s">
        <v>1240</v>
      </c>
      <c r="G875" s="1" t="s">
        <v>18</v>
      </c>
      <c r="H875" s="1">
        <v>2</v>
      </c>
      <c r="I875" s="1">
        <v>82.82</v>
      </c>
      <c r="J875" s="1">
        <v>10</v>
      </c>
      <c r="K875" s="1">
        <v>149.08000000000001</v>
      </c>
      <c r="L875" s="1">
        <v>40.590000000000003</v>
      </c>
      <c r="M875" s="1">
        <v>37</v>
      </c>
      <c r="N875" s="1" t="s">
        <v>26</v>
      </c>
      <c r="O875" s="1" t="s">
        <v>81</v>
      </c>
    </row>
    <row r="876" spans="1:15" x14ac:dyDescent="0.2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x14ac:dyDescent="0.2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x14ac:dyDescent="0.2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x14ac:dyDescent="0.2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x14ac:dyDescent="0.25">
      <c r="A880" s="1">
        <v>101173</v>
      </c>
      <c r="B880" s="2">
        <v>44959</v>
      </c>
      <c r="C880" s="1" t="s">
        <v>919</v>
      </c>
      <c r="D880" s="1" t="s">
        <v>53</v>
      </c>
      <c r="E880" s="1" t="s">
        <v>30</v>
      </c>
      <c r="F880" s="1" t="s">
        <v>1240</v>
      </c>
      <c r="G880" s="1" t="s">
        <v>31</v>
      </c>
      <c r="H880" s="1">
        <v>3</v>
      </c>
      <c r="I880" s="1">
        <v>22.53</v>
      </c>
      <c r="J880" s="1">
        <v>0</v>
      </c>
      <c r="K880" s="1">
        <v>67.59</v>
      </c>
      <c r="L880" s="1">
        <v>25.9</v>
      </c>
      <c r="M880" s="1">
        <v>32</v>
      </c>
      <c r="N880" s="1" t="s">
        <v>26</v>
      </c>
      <c r="O880" s="1" t="s">
        <v>32</v>
      </c>
    </row>
    <row r="881" spans="1:15" x14ac:dyDescent="0.2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x14ac:dyDescent="0.2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x14ac:dyDescent="0.25">
      <c r="A883" s="1">
        <v>100180</v>
      </c>
      <c r="B883" s="2">
        <v>45286</v>
      </c>
      <c r="C883" s="1" t="s">
        <v>922</v>
      </c>
      <c r="D883" s="1" t="s">
        <v>29</v>
      </c>
      <c r="E883" s="1" t="s">
        <v>30</v>
      </c>
      <c r="F883" s="1" t="s">
        <v>1254</v>
      </c>
      <c r="G883" s="1" t="s">
        <v>18</v>
      </c>
      <c r="H883" s="1">
        <v>2</v>
      </c>
      <c r="I883" s="1">
        <v>17.649999999999999</v>
      </c>
      <c r="J883" s="1">
        <v>10</v>
      </c>
      <c r="K883" s="1">
        <v>31.77</v>
      </c>
      <c r="L883" s="1">
        <v>11.27</v>
      </c>
      <c r="M883" s="1">
        <v>19</v>
      </c>
      <c r="N883" s="1" t="s">
        <v>122</v>
      </c>
      <c r="O883" s="1" t="s">
        <v>20</v>
      </c>
    </row>
    <row r="884" spans="1:15" x14ac:dyDescent="0.25">
      <c r="A884" s="1">
        <v>100301</v>
      </c>
      <c r="B884" s="2">
        <v>45065</v>
      </c>
      <c r="C884" s="1" t="s">
        <v>923</v>
      </c>
      <c r="D884" s="1" t="s">
        <v>34</v>
      </c>
      <c r="E884" s="1" t="s">
        <v>30</v>
      </c>
      <c r="F884" s="1" t="s">
        <v>1239</v>
      </c>
      <c r="G884" s="1" t="s">
        <v>48</v>
      </c>
      <c r="H884" s="1">
        <v>1</v>
      </c>
      <c r="I884" s="1">
        <v>63.33</v>
      </c>
      <c r="J884" s="1">
        <v>0</v>
      </c>
      <c r="K884" s="1">
        <v>63.33</v>
      </c>
      <c r="L884" s="1">
        <v>22.58</v>
      </c>
      <c r="M884" s="1">
        <v>44</v>
      </c>
      <c r="N884" s="1" t="s">
        <v>26</v>
      </c>
      <c r="O884" s="1" t="s">
        <v>35</v>
      </c>
    </row>
    <row r="885" spans="1:15" x14ac:dyDescent="0.2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x14ac:dyDescent="0.2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x14ac:dyDescent="0.2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x14ac:dyDescent="0.2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x14ac:dyDescent="0.25">
      <c r="A889" s="1">
        <v>100744</v>
      </c>
      <c r="B889" s="2">
        <v>44957</v>
      </c>
      <c r="C889" s="1" t="s">
        <v>928</v>
      </c>
      <c r="D889" s="1" t="s">
        <v>87</v>
      </c>
      <c r="E889" s="1" t="s">
        <v>25</v>
      </c>
      <c r="F889" s="1" t="s">
        <v>1254</v>
      </c>
      <c r="G889" s="1" t="s">
        <v>31</v>
      </c>
      <c r="H889" s="1">
        <v>1</v>
      </c>
      <c r="I889" s="1">
        <v>81.45</v>
      </c>
      <c r="J889" s="1">
        <v>0</v>
      </c>
      <c r="K889" s="1">
        <v>81.45</v>
      </c>
      <c r="L889" s="1">
        <v>26.5</v>
      </c>
      <c r="M889" s="1">
        <v>45</v>
      </c>
      <c r="N889" s="1" t="s">
        <v>26</v>
      </c>
      <c r="O889" s="1" t="s">
        <v>35</v>
      </c>
    </row>
    <row r="890" spans="1:15" x14ac:dyDescent="0.25">
      <c r="A890" s="1">
        <v>101151</v>
      </c>
      <c r="B890" s="2">
        <v>45824</v>
      </c>
      <c r="C890" s="1" t="s">
        <v>929</v>
      </c>
      <c r="D890" s="1" t="s">
        <v>87</v>
      </c>
      <c r="E890" s="1" t="s">
        <v>25</v>
      </c>
      <c r="F890" s="1" t="s">
        <v>1240</v>
      </c>
      <c r="G890" s="1" t="s">
        <v>48</v>
      </c>
      <c r="H890" s="1">
        <v>3</v>
      </c>
      <c r="I890" s="1">
        <v>89.65</v>
      </c>
      <c r="J890" s="1">
        <v>0</v>
      </c>
      <c r="K890" s="1">
        <v>268.95</v>
      </c>
      <c r="L890" s="1">
        <v>98.54</v>
      </c>
      <c r="M890" s="1">
        <v>47</v>
      </c>
      <c r="N890" s="1" t="s">
        <v>26</v>
      </c>
      <c r="O890" s="1" t="s">
        <v>81</v>
      </c>
    </row>
    <row r="891" spans="1:15" x14ac:dyDescent="0.2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x14ac:dyDescent="0.25">
      <c r="A892" s="1">
        <v>100372</v>
      </c>
      <c r="B892" s="2">
        <v>45233</v>
      </c>
      <c r="C892" s="1" t="s">
        <v>931</v>
      </c>
      <c r="D892" s="1" t="s">
        <v>24</v>
      </c>
      <c r="E892" s="1" t="s">
        <v>25</v>
      </c>
      <c r="F892" s="1" t="s">
        <v>1254</v>
      </c>
      <c r="G892" s="1" t="s">
        <v>18</v>
      </c>
      <c r="H892" s="1">
        <v>3</v>
      </c>
      <c r="I892" s="1">
        <v>90.24</v>
      </c>
      <c r="J892" s="1">
        <v>5</v>
      </c>
      <c r="K892" s="1">
        <v>257.18</v>
      </c>
      <c r="L892" s="1">
        <v>88.24</v>
      </c>
      <c r="M892" s="1">
        <v>25</v>
      </c>
      <c r="N892" s="1" t="s">
        <v>19</v>
      </c>
      <c r="O892" s="1" t="s">
        <v>35</v>
      </c>
    </row>
    <row r="893" spans="1:15" x14ac:dyDescent="0.25">
      <c r="A893" s="1">
        <v>100045</v>
      </c>
      <c r="B893" s="2">
        <v>45565</v>
      </c>
      <c r="C893" s="1" t="s">
        <v>932</v>
      </c>
      <c r="D893" s="1" t="s">
        <v>66</v>
      </c>
      <c r="E893" s="1" t="s">
        <v>17</v>
      </c>
      <c r="F893" s="1" t="s">
        <v>1240</v>
      </c>
      <c r="G893" s="1" t="s">
        <v>48</v>
      </c>
      <c r="H893" s="1">
        <v>2</v>
      </c>
      <c r="I893" s="1">
        <v>128.31</v>
      </c>
      <c r="J893" s="1">
        <v>0</v>
      </c>
      <c r="K893" s="1">
        <v>256.62</v>
      </c>
      <c r="L893" s="1">
        <v>64.540000000000006</v>
      </c>
      <c r="M893" s="1">
        <v>24</v>
      </c>
      <c r="N893" s="1" t="s">
        <v>26</v>
      </c>
      <c r="O893" s="1" t="s">
        <v>32</v>
      </c>
    </row>
    <row r="894" spans="1:15" x14ac:dyDescent="0.2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x14ac:dyDescent="0.25">
      <c r="A895" s="1">
        <v>100157</v>
      </c>
      <c r="B895" s="2">
        <v>44945</v>
      </c>
      <c r="C895" s="1" t="s">
        <v>934</v>
      </c>
      <c r="D895" s="1" t="s">
        <v>59</v>
      </c>
      <c r="E895" s="1" t="s">
        <v>17</v>
      </c>
      <c r="F895" s="1" t="s">
        <v>1239</v>
      </c>
      <c r="G895" s="1" t="s">
        <v>18</v>
      </c>
      <c r="H895" s="1">
        <v>4</v>
      </c>
      <c r="I895" s="1">
        <v>27.1</v>
      </c>
      <c r="J895" s="1">
        <v>5</v>
      </c>
      <c r="K895" s="1">
        <v>102.98</v>
      </c>
      <c r="L895" s="1">
        <v>27.81</v>
      </c>
      <c r="M895" s="1">
        <v>23</v>
      </c>
      <c r="N895" s="1" t="s">
        <v>19</v>
      </c>
      <c r="O895" s="1" t="s">
        <v>51</v>
      </c>
    </row>
    <row r="896" spans="1:15" x14ac:dyDescent="0.25">
      <c r="A896" s="1">
        <v>101046</v>
      </c>
      <c r="B896" s="2">
        <v>45548</v>
      </c>
      <c r="C896" s="1" t="s">
        <v>935</v>
      </c>
      <c r="D896" s="1" t="s">
        <v>22</v>
      </c>
      <c r="E896" s="1" t="s">
        <v>17</v>
      </c>
      <c r="F896" s="1" t="s">
        <v>1240</v>
      </c>
      <c r="G896" s="1" t="s">
        <v>31</v>
      </c>
      <c r="H896" s="1">
        <v>1</v>
      </c>
      <c r="I896" s="1">
        <v>21.96</v>
      </c>
      <c r="J896" s="1">
        <v>20</v>
      </c>
      <c r="K896" s="1">
        <v>17.57</v>
      </c>
      <c r="L896" s="1">
        <v>5.92</v>
      </c>
      <c r="M896" s="1">
        <v>23</v>
      </c>
      <c r="N896" s="1" t="s">
        <v>19</v>
      </c>
      <c r="O896" s="1" t="s">
        <v>81</v>
      </c>
    </row>
    <row r="897" spans="1:15" x14ac:dyDescent="0.2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x14ac:dyDescent="0.25">
      <c r="A898" s="1">
        <v>100016</v>
      </c>
      <c r="B898" s="2">
        <v>45058</v>
      </c>
      <c r="C898" s="1" t="s">
        <v>937</v>
      </c>
      <c r="D898" s="1" t="s">
        <v>53</v>
      </c>
      <c r="E898" s="1" t="s">
        <v>30</v>
      </c>
      <c r="F898" s="1" t="s">
        <v>1240</v>
      </c>
      <c r="G898" s="1" t="s">
        <v>31</v>
      </c>
      <c r="H898" s="1">
        <v>6</v>
      </c>
      <c r="I898" s="1">
        <v>20.58</v>
      </c>
      <c r="J898" s="1">
        <v>0</v>
      </c>
      <c r="K898" s="1">
        <v>123.48</v>
      </c>
      <c r="L898" s="1">
        <v>36.409999999999997</v>
      </c>
      <c r="M898" s="1">
        <v>30</v>
      </c>
      <c r="N898" s="1" t="s">
        <v>19</v>
      </c>
      <c r="O898" s="1" t="s">
        <v>51</v>
      </c>
    </row>
    <row r="899" spans="1:15" x14ac:dyDescent="0.25">
      <c r="A899" s="1">
        <v>100511</v>
      </c>
      <c r="B899" s="2">
        <v>45183</v>
      </c>
      <c r="C899" s="1" t="s">
        <v>938</v>
      </c>
      <c r="D899" s="1" t="s">
        <v>45</v>
      </c>
      <c r="E899" s="1" t="s">
        <v>30</v>
      </c>
      <c r="F899" s="1" t="s">
        <v>1240</v>
      </c>
      <c r="G899" s="1" t="s">
        <v>18</v>
      </c>
      <c r="H899" s="1">
        <v>2</v>
      </c>
      <c r="I899" s="1">
        <v>17.02</v>
      </c>
      <c r="J899" s="1">
        <v>0</v>
      </c>
      <c r="K899" s="1">
        <v>34.04</v>
      </c>
      <c r="L899" s="1">
        <v>15.97</v>
      </c>
      <c r="M899" s="1">
        <v>25</v>
      </c>
      <c r="N899" s="1" t="s">
        <v>26</v>
      </c>
      <c r="O899" s="1" t="s">
        <v>51</v>
      </c>
    </row>
    <row r="900" spans="1:15" x14ac:dyDescent="0.2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x14ac:dyDescent="0.2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x14ac:dyDescent="0.25">
      <c r="A902" s="1">
        <v>100546</v>
      </c>
      <c r="B902" s="2">
        <v>45465</v>
      </c>
      <c r="C902" s="1" t="s">
        <v>941</v>
      </c>
      <c r="D902" s="1" t="s">
        <v>100</v>
      </c>
      <c r="E902" s="1" t="s">
        <v>25</v>
      </c>
      <c r="F902" s="1" t="s">
        <v>1240</v>
      </c>
      <c r="G902" s="1" t="s">
        <v>18</v>
      </c>
      <c r="H902" s="1">
        <v>6</v>
      </c>
      <c r="I902" s="1">
        <v>137.22999999999999</v>
      </c>
      <c r="J902" s="1">
        <v>0</v>
      </c>
      <c r="K902" s="1">
        <v>823.38</v>
      </c>
      <c r="L902" s="1">
        <v>186.82</v>
      </c>
      <c r="M902" s="1">
        <v>22</v>
      </c>
      <c r="N902" s="1" t="s">
        <v>19</v>
      </c>
      <c r="O902" s="1" t="s">
        <v>27</v>
      </c>
    </row>
    <row r="903" spans="1:15" x14ac:dyDescent="0.25">
      <c r="A903" s="1">
        <v>100515</v>
      </c>
      <c r="B903" s="2">
        <v>45816</v>
      </c>
      <c r="C903" s="1" t="s">
        <v>942</v>
      </c>
      <c r="D903" s="1" t="s">
        <v>42</v>
      </c>
      <c r="E903" s="1" t="s">
        <v>25</v>
      </c>
      <c r="F903" s="1" t="s">
        <v>1254</v>
      </c>
      <c r="G903" s="1" t="s">
        <v>18</v>
      </c>
      <c r="H903" s="1">
        <v>5</v>
      </c>
      <c r="I903" s="1">
        <v>158.09</v>
      </c>
      <c r="J903" s="1">
        <v>0</v>
      </c>
      <c r="K903" s="1">
        <v>790.45</v>
      </c>
      <c r="L903" s="1">
        <v>262.02</v>
      </c>
      <c r="M903" s="1">
        <v>23</v>
      </c>
      <c r="N903" s="1" t="s">
        <v>19</v>
      </c>
      <c r="O903" s="1" t="s">
        <v>32</v>
      </c>
    </row>
    <row r="904" spans="1:15" x14ac:dyDescent="0.25">
      <c r="A904" s="1">
        <v>100977</v>
      </c>
      <c r="B904" s="2">
        <v>45420</v>
      </c>
      <c r="C904" s="1" t="s">
        <v>943</v>
      </c>
      <c r="D904" s="1" t="s">
        <v>45</v>
      </c>
      <c r="E904" s="1" t="s">
        <v>30</v>
      </c>
      <c r="F904" s="1" t="s">
        <v>1240</v>
      </c>
      <c r="G904" s="1" t="s">
        <v>31</v>
      </c>
      <c r="H904" s="1">
        <v>2</v>
      </c>
      <c r="I904" s="1">
        <v>14.39</v>
      </c>
      <c r="J904" s="1">
        <v>20</v>
      </c>
      <c r="K904" s="1">
        <v>23.02</v>
      </c>
      <c r="L904" s="1">
        <v>10.47</v>
      </c>
      <c r="M904" s="1">
        <v>30</v>
      </c>
      <c r="N904" s="1" t="s">
        <v>19</v>
      </c>
      <c r="O904" s="1" t="s">
        <v>27</v>
      </c>
    </row>
    <row r="905" spans="1:15" x14ac:dyDescent="0.25">
      <c r="A905" s="1">
        <v>100938</v>
      </c>
      <c r="B905" s="2">
        <v>45338</v>
      </c>
      <c r="C905" s="1" t="s">
        <v>944</v>
      </c>
      <c r="D905" s="1" t="s">
        <v>66</v>
      </c>
      <c r="E905" s="1" t="s">
        <v>17</v>
      </c>
      <c r="F905" s="1" t="s">
        <v>1240</v>
      </c>
      <c r="G905" s="1" t="s">
        <v>18</v>
      </c>
      <c r="H905" s="1">
        <v>4</v>
      </c>
      <c r="I905" s="1">
        <v>118.34</v>
      </c>
      <c r="J905" s="1">
        <v>10</v>
      </c>
      <c r="K905" s="1">
        <v>426.02</v>
      </c>
      <c r="L905" s="1">
        <v>110.94</v>
      </c>
      <c r="M905" s="1">
        <v>25</v>
      </c>
      <c r="N905" s="1" t="s">
        <v>19</v>
      </c>
      <c r="O905" s="1" t="s">
        <v>20</v>
      </c>
    </row>
    <row r="906" spans="1:15" x14ac:dyDescent="0.2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x14ac:dyDescent="0.25">
      <c r="A907" s="1">
        <v>100983</v>
      </c>
      <c r="B907" s="2">
        <v>45254</v>
      </c>
      <c r="C907" s="1" t="s">
        <v>946</v>
      </c>
      <c r="D907" s="1" t="s">
        <v>59</v>
      </c>
      <c r="E907" s="1" t="s">
        <v>17</v>
      </c>
      <c r="F907" s="1" t="s">
        <v>1239</v>
      </c>
      <c r="G907" s="1" t="s">
        <v>18</v>
      </c>
      <c r="H907" s="1">
        <v>2</v>
      </c>
      <c r="I907" s="1">
        <v>31.96</v>
      </c>
      <c r="J907" s="1">
        <v>0</v>
      </c>
      <c r="K907" s="1">
        <v>63.92</v>
      </c>
      <c r="L907" s="1">
        <v>12.04</v>
      </c>
      <c r="M907" s="1">
        <v>25</v>
      </c>
      <c r="N907" s="1" t="s">
        <v>19</v>
      </c>
      <c r="O907" s="1" t="s">
        <v>51</v>
      </c>
    </row>
    <row r="908" spans="1:15" x14ac:dyDescent="0.25">
      <c r="A908" s="1">
        <v>100480</v>
      </c>
      <c r="B908" s="2">
        <v>45850</v>
      </c>
      <c r="C908" s="1" t="s">
        <v>947</v>
      </c>
      <c r="D908" s="1" t="s">
        <v>100</v>
      </c>
      <c r="E908" s="1" t="s">
        <v>25</v>
      </c>
      <c r="F908" s="1" t="s">
        <v>1254</v>
      </c>
      <c r="G908" s="1" t="s">
        <v>31</v>
      </c>
      <c r="H908" s="1">
        <v>2</v>
      </c>
      <c r="I908" s="1">
        <v>126.51</v>
      </c>
      <c r="J908" s="1">
        <v>0</v>
      </c>
      <c r="K908" s="1">
        <v>253.02</v>
      </c>
      <c r="L908" s="1">
        <v>65.92</v>
      </c>
      <c r="M908" s="1">
        <v>26</v>
      </c>
      <c r="N908" s="1" t="s">
        <v>19</v>
      </c>
      <c r="O908" s="1" t="s">
        <v>27</v>
      </c>
    </row>
    <row r="909" spans="1:15" x14ac:dyDescent="0.2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x14ac:dyDescent="0.25">
      <c r="A910" s="1">
        <v>100283</v>
      </c>
      <c r="B910" s="2">
        <v>45229</v>
      </c>
      <c r="C910" s="1" t="s">
        <v>949</v>
      </c>
      <c r="D910" s="1" t="s">
        <v>34</v>
      </c>
      <c r="E910" s="1" t="s">
        <v>30</v>
      </c>
      <c r="F910" s="1" t="s">
        <v>1240</v>
      </c>
      <c r="G910" s="1" t="s">
        <v>48</v>
      </c>
      <c r="H910" s="1">
        <v>2</v>
      </c>
      <c r="I910" s="1">
        <v>66.06</v>
      </c>
      <c r="J910" s="1">
        <v>0</v>
      </c>
      <c r="K910" s="1">
        <v>132.12</v>
      </c>
      <c r="L910" s="1">
        <v>38.5</v>
      </c>
      <c r="M910" s="1">
        <v>50</v>
      </c>
      <c r="N910" s="1" t="s">
        <v>19</v>
      </c>
      <c r="O910" s="1" t="s">
        <v>43</v>
      </c>
    </row>
    <row r="911" spans="1:15" x14ac:dyDescent="0.2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x14ac:dyDescent="0.25">
      <c r="A912" s="1">
        <v>100797</v>
      </c>
      <c r="B912" s="2">
        <v>45309</v>
      </c>
      <c r="C912" s="1" t="s">
        <v>951</v>
      </c>
      <c r="D912" s="1" t="s">
        <v>77</v>
      </c>
      <c r="E912" s="1" t="s">
        <v>30</v>
      </c>
      <c r="F912" s="1" t="s">
        <v>1240</v>
      </c>
      <c r="G912" s="1" t="s">
        <v>18</v>
      </c>
      <c r="H912" s="1">
        <v>4</v>
      </c>
      <c r="I912" s="1">
        <v>40.64</v>
      </c>
      <c r="J912" s="1">
        <v>0</v>
      </c>
      <c r="K912" s="1">
        <v>162.56</v>
      </c>
      <c r="L912" s="1">
        <v>27.91</v>
      </c>
      <c r="M912" s="1">
        <v>22</v>
      </c>
      <c r="N912" s="1" t="s">
        <v>26</v>
      </c>
      <c r="O912" s="1" t="s">
        <v>46</v>
      </c>
    </row>
    <row r="913" spans="1:15" x14ac:dyDescent="0.2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x14ac:dyDescent="0.25">
      <c r="A914" s="1">
        <v>100225</v>
      </c>
      <c r="B914" s="2">
        <v>45116</v>
      </c>
      <c r="C914" s="1" t="s">
        <v>953</v>
      </c>
      <c r="D914" s="1" t="s">
        <v>68</v>
      </c>
      <c r="E914" s="1" t="s">
        <v>25</v>
      </c>
      <c r="F914" s="1" t="s">
        <v>1239</v>
      </c>
      <c r="G914" s="1" t="s">
        <v>18</v>
      </c>
      <c r="H914" s="1">
        <v>2</v>
      </c>
      <c r="I914" s="1">
        <v>233.61</v>
      </c>
      <c r="J914" s="1">
        <v>5</v>
      </c>
      <c r="K914" s="1">
        <v>443.86</v>
      </c>
      <c r="L914" s="1">
        <v>130.18</v>
      </c>
      <c r="M914" s="1">
        <v>28</v>
      </c>
      <c r="N914" s="1" t="s">
        <v>26</v>
      </c>
      <c r="O914" s="1" t="s">
        <v>46</v>
      </c>
    </row>
    <row r="915" spans="1:15" x14ac:dyDescent="0.25">
      <c r="A915" s="1">
        <v>100026</v>
      </c>
      <c r="B915" s="2">
        <v>45085</v>
      </c>
      <c r="C915" s="1" t="s">
        <v>954</v>
      </c>
      <c r="D915" s="1" t="s">
        <v>73</v>
      </c>
      <c r="E915" s="1" t="s">
        <v>25</v>
      </c>
      <c r="F915" s="1" t="s">
        <v>1239</v>
      </c>
      <c r="G915" s="1" t="s">
        <v>31</v>
      </c>
      <c r="H915" s="1">
        <v>4</v>
      </c>
      <c r="I915" s="1">
        <v>32.03</v>
      </c>
      <c r="J915" s="1">
        <v>5</v>
      </c>
      <c r="K915" s="1">
        <v>121.71</v>
      </c>
      <c r="L915" s="1">
        <v>39.4</v>
      </c>
      <c r="M915" s="1">
        <v>23</v>
      </c>
      <c r="N915" s="1" t="s">
        <v>26</v>
      </c>
      <c r="O915" s="1" t="s">
        <v>43</v>
      </c>
    </row>
    <row r="916" spans="1:15" x14ac:dyDescent="0.2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x14ac:dyDescent="0.25">
      <c r="A917" s="1">
        <v>101149</v>
      </c>
      <c r="B917" s="2">
        <v>45795</v>
      </c>
      <c r="C917" s="1" t="s">
        <v>956</v>
      </c>
      <c r="D917" s="1" t="s">
        <v>56</v>
      </c>
      <c r="E917" s="1" t="s">
        <v>30</v>
      </c>
      <c r="F917" s="1" t="s">
        <v>1240</v>
      </c>
      <c r="G917" s="1" t="s">
        <v>48</v>
      </c>
      <c r="H917" s="1">
        <v>1</v>
      </c>
      <c r="I917" s="1">
        <v>40.53</v>
      </c>
      <c r="J917" s="1">
        <v>10</v>
      </c>
      <c r="K917" s="1">
        <v>36.479999999999997</v>
      </c>
      <c r="L917" s="1">
        <v>14.82</v>
      </c>
      <c r="M917" s="1">
        <v>25</v>
      </c>
      <c r="N917" s="1" t="s">
        <v>26</v>
      </c>
      <c r="O917" s="1" t="s">
        <v>46</v>
      </c>
    </row>
    <row r="918" spans="1:15" x14ac:dyDescent="0.2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x14ac:dyDescent="0.2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x14ac:dyDescent="0.25">
      <c r="A920" s="1">
        <v>100364</v>
      </c>
      <c r="B920" s="2">
        <v>45273</v>
      </c>
      <c r="C920" s="1" t="s">
        <v>959</v>
      </c>
      <c r="D920" s="1" t="s">
        <v>100</v>
      </c>
      <c r="E920" s="1" t="s">
        <v>25</v>
      </c>
      <c r="F920" s="1" t="s">
        <v>1254</v>
      </c>
      <c r="G920" s="1" t="s">
        <v>31</v>
      </c>
      <c r="H920" s="1">
        <v>2</v>
      </c>
      <c r="I920" s="1">
        <v>117.21</v>
      </c>
      <c r="J920" s="1">
        <v>0</v>
      </c>
      <c r="K920" s="1">
        <v>234.42</v>
      </c>
      <c r="L920" s="1">
        <v>76.150000000000006</v>
      </c>
      <c r="M920" s="1">
        <v>51</v>
      </c>
      <c r="N920" s="1" t="s">
        <v>26</v>
      </c>
      <c r="O920" s="1" t="s">
        <v>35</v>
      </c>
    </row>
    <row r="921" spans="1:15" x14ac:dyDescent="0.2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x14ac:dyDescent="0.25">
      <c r="A922" s="1">
        <v>100037</v>
      </c>
      <c r="B922" s="2">
        <v>45300</v>
      </c>
      <c r="C922" s="1" t="s">
        <v>961</v>
      </c>
      <c r="D922" s="1" t="s">
        <v>70</v>
      </c>
      <c r="E922" s="1" t="s">
        <v>25</v>
      </c>
      <c r="F922" s="1" t="s">
        <v>1240</v>
      </c>
      <c r="G922" s="1" t="s">
        <v>18</v>
      </c>
      <c r="H922" s="1">
        <v>5</v>
      </c>
      <c r="I922" s="1">
        <v>136.28</v>
      </c>
      <c r="J922" s="1">
        <v>0</v>
      </c>
      <c r="K922" s="1">
        <v>681.4</v>
      </c>
      <c r="L922" s="1">
        <v>235.26</v>
      </c>
      <c r="M922" s="1">
        <v>25</v>
      </c>
      <c r="N922" s="1" t="s">
        <v>26</v>
      </c>
      <c r="O922" s="1" t="s">
        <v>32</v>
      </c>
    </row>
    <row r="923" spans="1:15" x14ac:dyDescent="0.25">
      <c r="A923" s="1">
        <v>100669</v>
      </c>
      <c r="B923" s="2">
        <v>45685</v>
      </c>
      <c r="C923" s="1" t="s">
        <v>962</v>
      </c>
      <c r="D923" s="1" t="s">
        <v>77</v>
      </c>
      <c r="E923" s="1" t="s">
        <v>30</v>
      </c>
      <c r="F923" s="1" t="s">
        <v>1240</v>
      </c>
      <c r="G923" s="1" t="s">
        <v>31</v>
      </c>
      <c r="H923" s="1">
        <v>1</v>
      </c>
      <c r="I923" s="1">
        <v>36.090000000000003</v>
      </c>
      <c r="J923" s="1">
        <v>20</v>
      </c>
      <c r="K923" s="1">
        <v>28.87</v>
      </c>
      <c r="L923" s="1">
        <v>6.52</v>
      </c>
      <c r="M923" s="1">
        <v>30</v>
      </c>
      <c r="N923" s="1" t="s">
        <v>26</v>
      </c>
      <c r="O923" s="1" t="s">
        <v>81</v>
      </c>
    </row>
    <row r="924" spans="1:15" x14ac:dyDescent="0.2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x14ac:dyDescent="0.25">
      <c r="A925" s="1">
        <v>101180</v>
      </c>
      <c r="B925" s="2">
        <v>45203</v>
      </c>
      <c r="C925" s="1" t="s">
        <v>964</v>
      </c>
      <c r="D925" s="1" t="s">
        <v>87</v>
      </c>
      <c r="E925" s="1" t="s">
        <v>25</v>
      </c>
      <c r="F925" s="1" t="s">
        <v>1240</v>
      </c>
      <c r="G925" s="1" t="s">
        <v>18</v>
      </c>
      <c r="H925" s="1">
        <v>3</v>
      </c>
      <c r="I925" s="1">
        <v>94.73</v>
      </c>
      <c r="J925" s="1">
        <v>5</v>
      </c>
      <c r="K925" s="1">
        <v>269.98</v>
      </c>
      <c r="L925" s="1">
        <v>77.91</v>
      </c>
      <c r="M925" s="1">
        <v>22</v>
      </c>
      <c r="N925" s="1" t="s">
        <v>26</v>
      </c>
      <c r="O925" s="1" t="s">
        <v>43</v>
      </c>
    </row>
    <row r="926" spans="1:15" x14ac:dyDescent="0.25">
      <c r="A926" s="1">
        <v>100374</v>
      </c>
      <c r="B926" s="2">
        <v>45781</v>
      </c>
      <c r="C926" s="1" t="s">
        <v>965</v>
      </c>
      <c r="D926" s="1" t="s">
        <v>100</v>
      </c>
      <c r="E926" s="1" t="s">
        <v>25</v>
      </c>
      <c r="F926" s="1" t="s">
        <v>1254</v>
      </c>
      <c r="G926" s="1" t="s">
        <v>48</v>
      </c>
      <c r="H926" s="1">
        <v>7</v>
      </c>
      <c r="I926" s="1">
        <v>123.33</v>
      </c>
      <c r="J926" s="1">
        <v>40</v>
      </c>
      <c r="K926" s="1">
        <v>517.99</v>
      </c>
      <c r="L926" s="1">
        <v>166.58</v>
      </c>
      <c r="M926" s="1">
        <v>23</v>
      </c>
      <c r="N926" s="1" t="s">
        <v>26</v>
      </c>
      <c r="O926" s="1" t="s">
        <v>32</v>
      </c>
    </row>
    <row r="927" spans="1:15" x14ac:dyDescent="0.25">
      <c r="A927" s="1">
        <v>100469</v>
      </c>
      <c r="B927" s="2">
        <v>45151</v>
      </c>
      <c r="C927" s="1" t="s">
        <v>966</v>
      </c>
      <c r="D927" s="1" t="s">
        <v>53</v>
      </c>
      <c r="E927" s="1" t="s">
        <v>30</v>
      </c>
      <c r="F927" s="1" t="s">
        <v>1240</v>
      </c>
      <c r="G927" s="1" t="s">
        <v>18</v>
      </c>
      <c r="H927" s="1">
        <v>3</v>
      </c>
      <c r="I927" s="1">
        <v>22.6</v>
      </c>
      <c r="J927" s="1">
        <v>20</v>
      </c>
      <c r="K927" s="1">
        <v>54.24</v>
      </c>
      <c r="L927" s="1">
        <v>14.07</v>
      </c>
      <c r="M927" s="1">
        <v>21</v>
      </c>
      <c r="N927" s="1" t="s">
        <v>19</v>
      </c>
      <c r="O927" s="1" t="s">
        <v>43</v>
      </c>
    </row>
    <row r="928" spans="1:15" x14ac:dyDescent="0.2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x14ac:dyDescent="0.2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x14ac:dyDescent="0.2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x14ac:dyDescent="0.25">
      <c r="A931" s="1">
        <v>100032</v>
      </c>
      <c r="B931" s="2">
        <v>45305</v>
      </c>
      <c r="C931" s="1" t="s">
        <v>970</v>
      </c>
      <c r="D931" s="1" t="s">
        <v>16</v>
      </c>
      <c r="E931" s="1" t="s">
        <v>17</v>
      </c>
      <c r="F931" s="1" t="s">
        <v>1254</v>
      </c>
      <c r="G931" s="1" t="s">
        <v>31</v>
      </c>
      <c r="H931" s="1">
        <v>5</v>
      </c>
      <c r="I931" s="1">
        <v>58.87</v>
      </c>
      <c r="J931" s="1">
        <v>20</v>
      </c>
      <c r="K931" s="1">
        <v>235.48</v>
      </c>
      <c r="L931" s="1">
        <v>62.55</v>
      </c>
      <c r="M931" s="1">
        <v>35</v>
      </c>
      <c r="N931" s="1" t="s">
        <v>19</v>
      </c>
      <c r="O931" s="1" t="s">
        <v>81</v>
      </c>
    </row>
    <row r="932" spans="1:15" x14ac:dyDescent="0.25">
      <c r="A932" s="1">
        <v>101010</v>
      </c>
      <c r="B932" s="2">
        <v>45027</v>
      </c>
      <c r="C932" s="1" t="s">
        <v>971</v>
      </c>
      <c r="D932" s="1" t="s">
        <v>62</v>
      </c>
      <c r="E932" s="1" t="s">
        <v>17</v>
      </c>
      <c r="F932" s="1" t="s">
        <v>1240</v>
      </c>
      <c r="G932" s="1" t="s">
        <v>64</v>
      </c>
      <c r="H932" s="1">
        <v>3</v>
      </c>
      <c r="I932" s="1">
        <v>124.2</v>
      </c>
      <c r="J932" s="1">
        <v>0</v>
      </c>
      <c r="K932" s="1">
        <v>372.6</v>
      </c>
      <c r="L932" s="1">
        <v>122.28</v>
      </c>
      <c r="M932" s="1">
        <v>30</v>
      </c>
      <c r="N932" s="1" t="s">
        <v>19</v>
      </c>
      <c r="O932" s="1" t="s">
        <v>27</v>
      </c>
    </row>
    <row r="933" spans="1:15" x14ac:dyDescent="0.2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x14ac:dyDescent="0.2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x14ac:dyDescent="0.2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x14ac:dyDescent="0.25">
      <c r="A936" s="1">
        <v>101113</v>
      </c>
      <c r="B936" s="2">
        <v>45727</v>
      </c>
      <c r="C936" s="1" t="s">
        <v>975</v>
      </c>
      <c r="D936" s="1" t="s">
        <v>37</v>
      </c>
      <c r="E936" s="1" t="s">
        <v>17</v>
      </c>
      <c r="F936" s="1" t="s">
        <v>1240</v>
      </c>
      <c r="G936" s="1" t="s">
        <v>31</v>
      </c>
      <c r="H936" s="1">
        <v>4</v>
      </c>
      <c r="I936" s="1">
        <v>57.04</v>
      </c>
      <c r="J936" s="1">
        <v>0</v>
      </c>
      <c r="K936" s="1">
        <v>228.16</v>
      </c>
      <c r="L936" s="1">
        <v>80.92</v>
      </c>
      <c r="M936" s="1">
        <v>47</v>
      </c>
      <c r="N936" s="1" t="s">
        <v>26</v>
      </c>
      <c r="O936" s="1" t="s">
        <v>32</v>
      </c>
    </row>
    <row r="937" spans="1:15" x14ac:dyDescent="0.2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x14ac:dyDescent="0.2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x14ac:dyDescent="0.2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x14ac:dyDescent="0.2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x14ac:dyDescent="0.2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x14ac:dyDescent="0.2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x14ac:dyDescent="0.2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x14ac:dyDescent="0.2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x14ac:dyDescent="0.25">
      <c r="A945" s="1">
        <v>100160</v>
      </c>
      <c r="B945" s="2">
        <v>45347</v>
      </c>
      <c r="C945" s="1" t="s">
        <v>984</v>
      </c>
      <c r="D945" s="1" t="s">
        <v>59</v>
      </c>
      <c r="E945" s="1" t="s">
        <v>17</v>
      </c>
      <c r="F945" s="1" t="s">
        <v>1240</v>
      </c>
      <c r="G945" s="1" t="s">
        <v>18</v>
      </c>
      <c r="H945" s="1">
        <v>2</v>
      </c>
      <c r="I945" s="1">
        <v>31.33</v>
      </c>
      <c r="J945" s="1">
        <v>0</v>
      </c>
      <c r="K945" s="1">
        <v>62.66</v>
      </c>
      <c r="L945" s="1">
        <v>15.2</v>
      </c>
      <c r="M945" s="1">
        <v>27</v>
      </c>
      <c r="N945" s="1" t="s">
        <v>26</v>
      </c>
      <c r="O945" s="1" t="s">
        <v>46</v>
      </c>
    </row>
    <row r="946" spans="1:15" x14ac:dyDescent="0.2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x14ac:dyDescent="0.2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x14ac:dyDescent="0.2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x14ac:dyDescent="0.25">
      <c r="A949" s="1">
        <v>100821</v>
      </c>
      <c r="B949" s="2">
        <v>45667</v>
      </c>
      <c r="C949" s="1" t="s">
        <v>988</v>
      </c>
      <c r="D949" s="1" t="s">
        <v>62</v>
      </c>
      <c r="E949" s="1" t="s">
        <v>17</v>
      </c>
      <c r="F949" s="1" t="s">
        <v>1254</v>
      </c>
      <c r="G949" s="1" t="s">
        <v>31</v>
      </c>
      <c r="H949" s="1">
        <v>2</v>
      </c>
      <c r="I949" s="1">
        <v>135.47</v>
      </c>
      <c r="J949" s="1">
        <v>0</v>
      </c>
      <c r="K949" s="1">
        <v>270.94</v>
      </c>
      <c r="L949" s="1">
        <v>78.23</v>
      </c>
      <c r="M949" s="1">
        <v>34</v>
      </c>
      <c r="N949" s="1" t="s">
        <v>19</v>
      </c>
      <c r="O949" s="1" t="s">
        <v>46</v>
      </c>
    </row>
    <row r="950" spans="1:15" x14ac:dyDescent="0.25">
      <c r="A950" s="1">
        <v>100705</v>
      </c>
      <c r="B950" s="2">
        <v>45078</v>
      </c>
      <c r="C950" s="1" t="s">
        <v>989</v>
      </c>
      <c r="D950" s="1" t="s">
        <v>59</v>
      </c>
      <c r="E950" s="1" t="s">
        <v>17</v>
      </c>
      <c r="F950" s="1" t="s">
        <v>1239</v>
      </c>
      <c r="G950" s="1" t="s">
        <v>31</v>
      </c>
      <c r="H950" s="1">
        <v>4</v>
      </c>
      <c r="I950" s="1">
        <v>29.28</v>
      </c>
      <c r="J950" s="1">
        <v>5</v>
      </c>
      <c r="K950" s="1">
        <v>111.26</v>
      </c>
      <c r="L950" s="1">
        <v>24.1</v>
      </c>
      <c r="M950" s="1">
        <v>21</v>
      </c>
      <c r="N950" s="1" t="s">
        <v>26</v>
      </c>
      <c r="O950" s="1" t="s">
        <v>20</v>
      </c>
    </row>
    <row r="951" spans="1:15" x14ac:dyDescent="0.25">
      <c r="A951" s="1">
        <v>101008</v>
      </c>
      <c r="B951" s="2">
        <v>45250</v>
      </c>
      <c r="C951" s="1" t="s">
        <v>990</v>
      </c>
      <c r="D951" s="1" t="s">
        <v>34</v>
      </c>
      <c r="E951" s="1" t="s">
        <v>30</v>
      </c>
      <c r="F951" s="1" t="s">
        <v>1239</v>
      </c>
      <c r="G951" s="1" t="s">
        <v>18</v>
      </c>
      <c r="H951" s="1">
        <v>4</v>
      </c>
      <c r="I951" s="1">
        <v>66.48</v>
      </c>
      <c r="J951" s="1">
        <v>5</v>
      </c>
      <c r="K951" s="1">
        <v>252.62</v>
      </c>
      <c r="L951" s="1">
        <v>56.62</v>
      </c>
      <c r="M951" s="1">
        <v>19</v>
      </c>
      <c r="N951" s="1" t="s">
        <v>26</v>
      </c>
      <c r="O951" s="1" t="s">
        <v>27</v>
      </c>
    </row>
    <row r="952" spans="1:15" x14ac:dyDescent="0.2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x14ac:dyDescent="0.25">
      <c r="A953" s="1">
        <v>100895</v>
      </c>
      <c r="B953" s="2">
        <v>45115</v>
      </c>
      <c r="C953" s="1" t="s">
        <v>992</v>
      </c>
      <c r="D953" s="1" t="s">
        <v>39</v>
      </c>
      <c r="E953" s="1" t="s">
        <v>25</v>
      </c>
      <c r="F953" s="1" t="s">
        <v>1240</v>
      </c>
      <c r="G953" s="1" t="s">
        <v>18</v>
      </c>
      <c r="H953" s="1">
        <v>3</v>
      </c>
      <c r="I953" s="1">
        <v>175.6</v>
      </c>
      <c r="J953" s="1">
        <v>5</v>
      </c>
      <c r="K953" s="1">
        <v>500.46</v>
      </c>
      <c r="L953" s="1">
        <v>131.79</v>
      </c>
      <c r="M953" s="1">
        <v>27</v>
      </c>
      <c r="N953" s="1" t="s">
        <v>26</v>
      </c>
      <c r="O953" s="1" t="s">
        <v>20</v>
      </c>
    </row>
    <row r="954" spans="1:15" x14ac:dyDescent="0.25">
      <c r="A954" s="1">
        <v>100913</v>
      </c>
      <c r="B954" s="2">
        <v>45737</v>
      </c>
      <c r="C954" s="1" t="s">
        <v>993</v>
      </c>
      <c r="D954" s="1" t="s">
        <v>24</v>
      </c>
      <c r="E954" s="1" t="s">
        <v>25</v>
      </c>
      <c r="F954" s="1" t="s">
        <v>1240</v>
      </c>
      <c r="G954" s="1" t="s">
        <v>31</v>
      </c>
      <c r="H954" s="1">
        <v>2</v>
      </c>
      <c r="I954" s="1">
        <v>99.67</v>
      </c>
      <c r="J954" s="1">
        <v>5</v>
      </c>
      <c r="K954" s="1">
        <v>189.37</v>
      </c>
      <c r="L954" s="1">
        <v>61.03</v>
      </c>
      <c r="M954" s="1">
        <v>23</v>
      </c>
      <c r="N954" s="1" t="s">
        <v>19</v>
      </c>
      <c r="O954" s="1" t="s">
        <v>51</v>
      </c>
    </row>
    <row r="955" spans="1:15" x14ac:dyDescent="0.2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x14ac:dyDescent="0.25">
      <c r="A956" s="1">
        <v>100152</v>
      </c>
      <c r="B956" s="2">
        <v>44967</v>
      </c>
      <c r="C956" s="1" t="s">
        <v>995</v>
      </c>
      <c r="D956" s="1" t="s">
        <v>37</v>
      </c>
      <c r="E956" s="1" t="s">
        <v>17</v>
      </c>
      <c r="F956" s="1" t="s">
        <v>1239</v>
      </c>
      <c r="G956" s="1" t="s">
        <v>31</v>
      </c>
      <c r="H956" s="1">
        <v>1</v>
      </c>
      <c r="I956" s="1">
        <v>77.03</v>
      </c>
      <c r="J956" s="1">
        <v>0</v>
      </c>
      <c r="K956" s="1">
        <v>77.03</v>
      </c>
      <c r="L956" s="1">
        <v>17.43</v>
      </c>
      <c r="M956" s="1">
        <v>33</v>
      </c>
      <c r="N956" s="1" t="s">
        <v>19</v>
      </c>
      <c r="O956" s="1" t="s">
        <v>43</v>
      </c>
    </row>
    <row r="957" spans="1:15" x14ac:dyDescent="0.25">
      <c r="A957" s="1">
        <v>100978</v>
      </c>
      <c r="B957" s="2">
        <v>45659</v>
      </c>
      <c r="C957" s="1" t="s">
        <v>996</v>
      </c>
      <c r="D957" s="1" t="s">
        <v>39</v>
      </c>
      <c r="E957" s="1" t="s">
        <v>25</v>
      </c>
      <c r="F957" s="1" t="s">
        <v>1254</v>
      </c>
      <c r="G957" s="1" t="s">
        <v>48</v>
      </c>
      <c r="H957" s="1">
        <v>4</v>
      </c>
      <c r="I957" s="1">
        <v>176.76</v>
      </c>
      <c r="J957" s="1">
        <v>20</v>
      </c>
      <c r="K957" s="1">
        <v>565.63</v>
      </c>
      <c r="L957" s="1">
        <v>143.41999999999999</v>
      </c>
      <c r="M957" s="1">
        <v>34</v>
      </c>
      <c r="N957" s="1" t="s">
        <v>19</v>
      </c>
      <c r="O957" s="1" t="s">
        <v>51</v>
      </c>
    </row>
    <row r="958" spans="1:15" x14ac:dyDescent="0.25">
      <c r="A958" s="1">
        <v>101002</v>
      </c>
      <c r="B958" s="2">
        <v>45299</v>
      </c>
      <c r="C958" s="1" t="s">
        <v>997</v>
      </c>
      <c r="D958" s="1" t="s">
        <v>45</v>
      </c>
      <c r="E958" s="1" t="s">
        <v>30</v>
      </c>
      <c r="F958" s="1" t="s">
        <v>1239</v>
      </c>
      <c r="G958" s="1" t="s">
        <v>31</v>
      </c>
      <c r="H958" s="1">
        <v>2</v>
      </c>
      <c r="I958" s="1">
        <v>16.53</v>
      </c>
      <c r="J958" s="1">
        <v>20</v>
      </c>
      <c r="K958" s="1">
        <v>26.45</v>
      </c>
      <c r="L958" s="1">
        <v>9.09</v>
      </c>
      <c r="M958" s="1">
        <v>27</v>
      </c>
      <c r="N958" s="1" t="s">
        <v>26</v>
      </c>
      <c r="O958" s="1" t="s">
        <v>81</v>
      </c>
    </row>
    <row r="959" spans="1:15" x14ac:dyDescent="0.25">
      <c r="A959" s="1">
        <v>100509</v>
      </c>
      <c r="B959" s="2">
        <v>45750</v>
      </c>
      <c r="C959" s="1" t="s">
        <v>998</v>
      </c>
      <c r="D959" s="1" t="s">
        <v>37</v>
      </c>
      <c r="E959" s="1" t="s">
        <v>17</v>
      </c>
      <c r="F959" s="1" t="s">
        <v>1254</v>
      </c>
      <c r="G959" s="1" t="s">
        <v>18</v>
      </c>
      <c r="H959" s="1">
        <v>4</v>
      </c>
      <c r="I959" s="1">
        <v>67.17</v>
      </c>
      <c r="J959" s="1">
        <v>0</v>
      </c>
      <c r="K959" s="1">
        <v>268.68</v>
      </c>
      <c r="L959" s="1">
        <v>106.87</v>
      </c>
      <c r="M959" s="1">
        <v>30</v>
      </c>
      <c r="N959" s="1" t="s">
        <v>19</v>
      </c>
      <c r="O959" s="1" t="s">
        <v>35</v>
      </c>
    </row>
    <row r="960" spans="1:15" x14ac:dyDescent="0.25">
      <c r="A960" s="1">
        <v>100111</v>
      </c>
      <c r="B960" s="2">
        <v>45132</v>
      </c>
      <c r="C960" s="1" t="s">
        <v>999</v>
      </c>
      <c r="D960" s="1" t="s">
        <v>68</v>
      </c>
      <c r="E960" s="1" t="s">
        <v>25</v>
      </c>
      <c r="F960" s="1" t="s">
        <v>1254</v>
      </c>
      <c r="G960" s="1" t="s">
        <v>18</v>
      </c>
      <c r="H960" s="1">
        <v>3</v>
      </c>
      <c r="I960" s="1">
        <v>249.51</v>
      </c>
      <c r="J960" s="1">
        <v>0</v>
      </c>
      <c r="K960" s="1">
        <v>748.53</v>
      </c>
      <c r="L960" s="1">
        <v>257.95999999999998</v>
      </c>
      <c r="M960" s="1">
        <v>30</v>
      </c>
      <c r="N960" s="1" t="s">
        <v>26</v>
      </c>
      <c r="O960" s="1" t="s">
        <v>20</v>
      </c>
    </row>
    <row r="961" spans="1:15" x14ac:dyDescent="0.25">
      <c r="A961" s="1">
        <v>100226</v>
      </c>
      <c r="B961" s="2">
        <v>45236</v>
      </c>
      <c r="C961" s="1" t="s">
        <v>1000</v>
      </c>
      <c r="D961" s="1" t="s">
        <v>77</v>
      </c>
      <c r="E961" s="1" t="s">
        <v>30</v>
      </c>
      <c r="F961" s="1" t="s">
        <v>1240</v>
      </c>
      <c r="G961" s="1" t="s">
        <v>31</v>
      </c>
      <c r="H961" s="1">
        <v>3</v>
      </c>
      <c r="I961" s="1">
        <v>36.9</v>
      </c>
      <c r="J961" s="1">
        <v>0</v>
      </c>
      <c r="K961" s="1">
        <v>110.7</v>
      </c>
      <c r="L961" s="1">
        <v>40.799999999999997</v>
      </c>
      <c r="M961" s="1">
        <v>17</v>
      </c>
      <c r="N961" s="1" t="s">
        <v>19</v>
      </c>
      <c r="O961" s="1" t="s">
        <v>81</v>
      </c>
    </row>
    <row r="962" spans="1:15" x14ac:dyDescent="0.2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x14ac:dyDescent="0.25">
      <c r="A963" s="1">
        <v>100851</v>
      </c>
      <c r="B963" s="2">
        <v>45706</v>
      </c>
      <c r="C963" s="1" t="s">
        <v>1002</v>
      </c>
      <c r="D963" s="1" t="s">
        <v>29</v>
      </c>
      <c r="E963" s="1" t="s">
        <v>30</v>
      </c>
      <c r="F963" s="1" t="s">
        <v>1240</v>
      </c>
      <c r="G963" s="1" t="s">
        <v>31</v>
      </c>
      <c r="H963" s="1">
        <v>3</v>
      </c>
      <c r="I963" s="1">
        <v>18.13</v>
      </c>
      <c r="J963" s="1">
        <v>0</v>
      </c>
      <c r="K963" s="1">
        <v>54.39</v>
      </c>
      <c r="L963" s="1">
        <v>11.02</v>
      </c>
      <c r="M963" s="1">
        <v>25</v>
      </c>
      <c r="N963" s="1" t="s">
        <v>26</v>
      </c>
      <c r="O963" s="1" t="s">
        <v>32</v>
      </c>
    </row>
    <row r="964" spans="1:15" x14ac:dyDescent="0.2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x14ac:dyDescent="0.2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x14ac:dyDescent="0.2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x14ac:dyDescent="0.25">
      <c r="A967" s="1">
        <v>100624</v>
      </c>
      <c r="B967" s="2">
        <v>45426</v>
      </c>
      <c r="C967" s="1" t="s">
        <v>1006</v>
      </c>
      <c r="D967" s="1" t="s">
        <v>39</v>
      </c>
      <c r="E967" s="1" t="s">
        <v>25</v>
      </c>
      <c r="F967" s="1" t="s">
        <v>1240</v>
      </c>
      <c r="G967" s="1" t="s">
        <v>31</v>
      </c>
      <c r="H967" s="1">
        <v>1</v>
      </c>
      <c r="I967" s="1">
        <v>190.17</v>
      </c>
      <c r="J967" s="1">
        <v>10</v>
      </c>
      <c r="K967" s="1">
        <v>171.15</v>
      </c>
      <c r="L967" s="1">
        <v>49.27</v>
      </c>
      <c r="M967" s="1">
        <v>27</v>
      </c>
      <c r="N967" s="1" t="s">
        <v>19</v>
      </c>
      <c r="O967" s="1" t="s">
        <v>20</v>
      </c>
    </row>
    <row r="968" spans="1:15" x14ac:dyDescent="0.2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x14ac:dyDescent="0.25">
      <c r="A969" s="1">
        <v>101060</v>
      </c>
      <c r="B969" s="2">
        <v>45484</v>
      </c>
      <c r="C969" s="1" t="s">
        <v>1008</v>
      </c>
      <c r="D969" s="1" t="s">
        <v>16</v>
      </c>
      <c r="E969" s="1" t="s">
        <v>17</v>
      </c>
      <c r="F969" s="1" t="s">
        <v>1254</v>
      </c>
      <c r="G969" s="1" t="s">
        <v>18</v>
      </c>
      <c r="H969" s="1">
        <v>3</v>
      </c>
      <c r="I969" s="1">
        <v>58.05</v>
      </c>
      <c r="J969" s="1">
        <v>10</v>
      </c>
      <c r="K969" s="1">
        <v>156.72999999999999</v>
      </c>
      <c r="L969" s="1">
        <v>50.62</v>
      </c>
      <c r="M969" s="1">
        <v>30</v>
      </c>
      <c r="N969" s="1" t="s">
        <v>26</v>
      </c>
      <c r="O969" s="1" t="s">
        <v>51</v>
      </c>
    </row>
    <row r="970" spans="1:15" x14ac:dyDescent="0.25">
      <c r="A970" s="1">
        <v>100919</v>
      </c>
      <c r="B970" s="2">
        <v>44998</v>
      </c>
      <c r="C970" s="1" t="s">
        <v>1009</v>
      </c>
      <c r="D970" s="1" t="s">
        <v>62</v>
      </c>
      <c r="E970" s="1" t="s">
        <v>17</v>
      </c>
      <c r="F970" s="1" t="s">
        <v>1240</v>
      </c>
      <c r="G970" s="1" t="s">
        <v>31</v>
      </c>
      <c r="H970" s="1">
        <v>2</v>
      </c>
      <c r="I970" s="1">
        <v>123.75</v>
      </c>
      <c r="J970" s="1">
        <v>5</v>
      </c>
      <c r="K970" s="1">
        <v>235.12</v>
      </c>
      <c r="L970" s="1">
        <v>53.12</v>
      </c>
      <c r="M970" s="1">
        <v>34</v>
      </c>
      <c r="N970" s="1" t="s">
        <v>26</v>
      </c>
      <c r="O970" s="1" t="s">
        <v>81</v>
      </c>
    </row>
    <row r="971" spans="1:15" x14ac:dyDescent="0.25">
      <c r="A971" s="1">
        <v>100672</v>
      </c>
      <c r="B971" s="2">
        <v>45363</v>
      </c>
      <c r="C971" s="1" t="s">
        <v>1010</v>
      </c>
      <c r="D971" s="1" t="s">
        <v>66</v>
      </c>
      <c r="E971" s="1" t="s">
        <v>17</v>
      </c>
      <c r="F971" s="1" t="s">
        <v>1239</v>
      </c>
      <c r="G971" s="1" t="s">
        <v>31</v>
      </c>
      <c r="H971" s="1">
        <v>6</v>
      </c>
      <c r="I971" s="1">
        <v>132.09</v>
      </c>
      <c r="J971" s="1">
        <v>0</v>
      </c>
      <c r="K971" s="1">
        <v>792.54</v>
      </c>
      <c r="L971" s="1">
        <v>276.43</v>
      </c>
      <c r="M971" s="1">
        <v>32</v>
      </c>
      <c r="N971" s="1" t="s">
        <v>26</v>
      </c>
      <c r="O971" s="1" t="s">
        <v>35</v>
      </c>
    </row>
    <row r="972" spans="1:15" x14ac:dyDescent="0.25">
      <c r="A972" s="1">
        <v>100119</v>
      </c>
      <c r="B972" s="2">
        <v>45382</v>
      </c>
      <c r="C972" s="1" t="s">
        <v>1011</v>
      </c>
      <c r="D972" s="1" t="s">
        <v>37</v>
      </c>
      <c r="E972" s="1" t="s">
        <v>17</v>
      </c>
      <c r="F972" s="1" t="s">
        <v>1240</v>
      </c>
      <c r="G972" s="1" t="s">
        <v>31</v>
      </c>
      <c r="H972" s="1">
        <v>5</v>
      </c>
      <c r="I972" s="1">
        <v>77.53</v>
      </c>
      <c r="J972" s="1">
        <v>0</v>
      </c>
      <c r="K972" s="1">
        <v>387.65</v>
      </c>
      <c r="L972" s="1">
        <v>167.59</v>
      </c>
      <c r="M972" s="1">
        <v>34</v>
      </c>
      <c r="N972" s="1" t="s">
        <v>26</v>
      </c>
      <c r="O972" s="1" t="s">
        <v>43</v>
      </c>
    </row>
    <row r="973" spans="1:15" x14ac:dyDescent="0.25">
      <c r="A973" s="1">
        <v>100053</v>
      </c>
      <c r="B973" s="2">
        <v>45777</v>
      </c>
      <c r="C973" s="1" t="s">
        <v>1012</v>
      </c>
      <c r="D973" s="1" t="s">
        <v>45</v>
      </c>
      <c r="E973" s="1" t="s">
        <v>30</v>
      </c>
      <c r="F973" s="1" t="s">
        <v>1240</v>
      </c>
      <c r="G973" s="1" t="s">
        <v>48</v>
      </c>
      <c r="H973" s="1">
        <v>4</v>
      </c>
      <c r="I973" s="1">
        <v>15.09</v>
      </c>
      <c r="J973" s="1">
        <v>5</v>
      </c>
      <c r="K973" s="1">
        <v>57.34</v>
      </c>
      <c r="L973" s="1">
        <v>16.97</v>
      </c>
      <c r="M973" s="1">
        <v>31</v>
      </c>
      <c r="N973" s="1" t="s">
        <v>26</v>
      </c>
      <c r="O973" s="1" t="s">
        <v>51</v>
      </c>
    </row>
    <row r="974" spans="1:15" x14ac:dyDescent="0.2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x14ac:dyDescent="0.25">
      <c r="A975" s="1">
        <v>100403</v>
      </c>
      <c r="B975" s="2">
        <v>45568</v>
      </c>
      <c r="C975" s="1" t="s">
        <v>1014</v>
      </c>
      <c r="D975" s="1" t="s">
        <v>37</v>
      </c>
      <c r="E975" s="1" t="s">
        <v>17</v>
      </c>
      <c r="F975" s="1" t="s">
        <v>1254</v>
      </c>
      <c r="G975" s="1" t="s">
        <v>18</v>
      </c>
      <c r="H975" s="1">
        <v>3</v>
      </c>
      <c r="I975" s="1">
        <v>62.43</v>
      </c>
      <c r="J975" s="1">
        <v>20</v>
      </c>
      <c r="K975" s="1">
        <v>149.83000000000001</v>
      </c>
      <c r="L975" s="1">
        <v>43.51</v>
      </c>
      <c r="M975" s="1">
        <v>31</v>
      </c>
      <c r="N975" s="1" t="s">
        <v>26</v>
      </c>
      <c r="O975" s="1" t="s">
        <v>20</v>
      </c>
    </row>
    <row r="976" spans="1:15" x14ac:dyDescent="0.25">
      <c r="A976" s="1">
        <v>101188</v>
      </c>
      <c r="B976" s="2">
        <v>45760</v>
      </c>
      <c r="C976" s="1" t="s">
        <v>1015</v>
      </c>
      <c r="D976" s="1" t="s">
        <v>34</v>
      </c>
      <c r="E976" s="1" t="s">
        <v>30</v>
      </c>
      <c r="F976" s="1" t="s">
        <v>1240</v>
      </c>
      <c r="G976" s="1" t="s">
        <v>18</v>
      </c>
      <c r="H976" s="1">
        <v>1</v>
      </c>
      <c r="I976" s="1">
        <v>53.84</v>
      </c>
      <c r="J976" s="1">
        <v>10</v>
      </c>
      <c r="K976" s="1">
        <v>48.46</v>
      </c>
      <c r="L976" s="1">
        <v>18.420000000000002</v>
      </c>
      <c r="M976" s="1">
        <v>29</v>
      </c>
      <c r="N976" s="1" t="s">
        <v>26</v>
      </c>
      <c r="O976" s="1" t="s">
        <v>20</v>
      </c>
    </row>
    <row r="977" spans="1:15" x14ac:dyDescent="0.2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x14ac:dyDescent="0.2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x14ac:dyDescent="0.25">
      <c r="A979" s="1">
        <v>100658</v>
      </c>
      <c r="B979" s="2">
        <v>45191</v>
      </c>
      <c r="C979" s="1" t="s">
        <v>1017</v>
      </c>
      <c r="D979" s="1" t="s">
        <v>22</v>
      </c>
      <c r="E979" s="1" t="s">
        <v>17</v>
      </c>
      <c r="F979" s="1" t="s">
        <v>1240</v>
      </c>
      <c r="G979" s="1" t="s">
        <v>64</v>
      </c>
      <c r="H979" s="1">
        <v>2</v>
      </c>
      <c r="I979" s="1">
        <v>25.8</v>
      </c>
      <c r="J979" s="1">
        <v>20</v>
      </c>
      <c r="K979" s="1">
        <v>41.28</v>
      </c>
      <c r="L979" s="1">
        <v>9.51</v>
      </c>
      <c r="M979" s="1">
        <v>40</v>
      </c>
      <c r="N979" s="1" t="s">
        <v>26</v>
      </c>
      <c r="O979" s="1" t="s">
        <v>32</v>
      </c>
    </row>
    <row r="980" spans="1:15" x14ac:dyDescent="0.2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x14ac:dyDescent="0.2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x14ac:dyDescent="0.2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x14ac:dyDescent="0.25">
      <c r="A983" s="1">
        <v>100159</v>
      </c>
      <c r="B983" s="2">
        <v>45538</v>
      </c>
      <c r="C983" s="1" t="s">
        <v>1021</v>
      </c>
      <c r="D983" s="1" t="s">
        <v>62</v>
      </c>
      <c r="E983" s="1" t="s">
        <v>17</v>
      </c>
      <c r="F983" s="1" t="s">
        <v>1240</v>
      </c>
      <c r="G983" s="1" t="s">
        <v>31</v>
      </c>
      <c r="H983" s="1">
        <v>3</v>
      </c>
      <c r="I983" s="1">
        <v>145.52000000000001</v>
      </c>
      <c r="J983" s="1">
        <v>20</v>
      </c>
      <c r="K983" s="1">
        <v>349.25</v>
      </c>
      <c r="L983" s="1">
        <v>86.95</v>
      </c>
      <c r="M983" s="1">
        <v>25</v>
      </c>
      <c r="N983" s="1" t="s">
        <v>19</v>
      </c>
      <c r="O983" s="1" t="s">
        <v>35</v>
      </c>
    </row>
    <row r="984" spans="1:15" x14ac:dyDescent="0.25">
      <c r="A984" s="1">
        <v>100036</v>
      </c>
      <c r="B984" s="2">
        <v>45004</v>
      </c>
      <c r="C984" s="1" t="s">
        <v>1022</v>
      </c>
      <c r="D984" s="1" t="s">
        <v>68</v>
      </c>
      <c r="E984" s="1" t="s">
        <v>25</v>
      </c>
      <c r="F984" s="1" t="s">
        <v>1254</v>
      </c>
      <c r="G984" s="1" t="s">
        <v>31</v>
      </c>
      <c r="H984" s="1">
        <v>4</v>
      </c>
      <c r="I984" s="1">
        <v>223.77</v>
      </c>
      <c r="J984" s="1">
        <v>0</v>
      </c>
      <c r="K984" s="1">
        <v>895.08</v>
      </c>
      <c r="L984" s="1">
        <v>212.77</v>
      </c>
      <c r="M984" s="1">
        <v>30</v>
      </c>
      <c r="N984" s="1" t="s">
        <v>26</v>
      </c>
      <c r="O984" s="1" t="s">
        <v>35</v>
      </c>
    </row>
    <row r="985" spans="1:15" x14ac:dyDescent="0.2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x14ac:dyDescent="0.25">
      <c r="A986" s="1">
        <v>100651</v>
      </c>
      <c r="B986" s="2">
        <v>45911</v>
      </c>
      <c r="C986" s="1" t="s">
        <v>1024</v>
      </c>
      <c r="D986" s="1" t="s">
        <v>56</v>
      </c>
      <c r="E986" s="1" t="s">
        <v>30</v>
      </c>
      <c r="F986" s="1" t="s">
        <v>1240</v>
      </c>
      <c r="G986" s="1" t="s">
        <v>48</v>
      </c>
      <c r="H986" s="1">
        <v>5</v>
      </c>
      <c r="I986" s="1">
        <v>45.43</v>
      </c>
      <c r="J986" s="1">
        <v>0</v>
      </c>
      <c r="K986" s="1">
        <v>227.15</v>
      </c>
      <c r="L986" s="1">
        <v>90.51</v>
      </c>
      <c r="M986" s="1">
        <v>16</v>
      </c>
      <c r="N986" s="1" t="s">
        <v>19</v>
      </c>
      <c r="O986" s="1" t="s">
        <v>32</v>
      </c>
    </row>
    <row r="987" spans="1:15" x14ac:dyDescent="0.2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x14ac:dyDescent="0.25">
      <c r="A988" s="1">
        <v>100303</v>
      </c>
      <c r="B988" s="2">
        <v>45389</v>
      </c>
      <c r="C988" s="1" t="s">
        <v>1026</v>
      </c>
      <c r="D988" s="1" t="s">
        <v>24</v>
      </c>
      <c r="E988" s="1" t="s">
        <v>25</v>
      </c>
      <c r="F988" s="1" t="s">
        <v>1254</v>
      </c>
      <c r="G988" s="1" t="s">
        <v>18</v>
      </c>
      <c r="H988" s="1">
        <v>4</v>
      </c>
      <c r="I988" s="1">
        <v>110.28</v>
      </c>
      <c r="J988" s="1">
        <v>0</v>
      </c>
      <c r="K988" s="1">
        <v>441.12</v>
      </c>
      <c r="L988" s="1">
        <v>163.15</v>
      </c>
      <c r="M988" s="1">
        <v>30</v>
      </c>
      <c r="N988" s="1" t="s">
        <v>26</v>
      </c>
      <c r="O988" s="1" t="s">
        <v>20</v>
      </c>
    </row>
    <row r="989" spans="1:15" x14ac:dyDescent="0.2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x14ac:dyDescent="0.25">
      <c r="A990" s="1">
        <v>101048</v>
      </c>
      <c r="B990" s="2">
        <v>44973</v>
      </c>
      <c r="C990" s="1" t="s">
        <v>1028</v>
      </c>
      <c r="D990" s="1" t="s">
        <v>45</v>
      </c>
      <c r="E990" s="1" t="s">
        <v>30</v>
      </c>
      <c r="F990" s="1" t="s">
        <v>1240</v>
      </c>
      <c r="G990" s="1" t="s">
        <v>18</v>
      </c>
      <c r="H990" s="1">
        <v>2</v>
      </c>
      <c r="I990" s="1">
        <v>15.14</v>
      </c>
      <c r="J990" s="1">
        <v>20</v>
      </c>
      <c r="K990" s="1">
        <v>24.22</v>
      </c>
      <c r="L990" s="1">
        <v>8.77</v>
      </c>
      <c r="M990" s="1">
        <v>28</v>
      </c>
      <c r="N990" s="1" t="s">
        <v>19</v>
      </c>
      <c r="O990" s="1" t="s">
        <v>35</v>
      </c>
    </row>
    <row r="991" spans="1:15" x14ac:dyDescent="0.25">
      <c r="A991" s="1">
        <v>100880</v>
      </c>
      <c r="B991" s="2">
        <v>45907</v>
      </c>
      <c r="C991" s="1" t="s">
        <v>1029</v>
      </c>
      <c r="D991" s="1" t="s">
        <v>24</v>
      </c>
      <c r="E991" s="1" t="s">
        <v>25</v>
      </c>
      <c r="F991" s="1" t="s">
        <v>1240</v>
      </c>
      <c r="G991" s="1" t="s">
        <v>18</v>
      </c>
      <c r="H991" s="1">
        <v>5</v>
      </c>
      <c r="I991" s="1">
        <v>99.39</v>
      </c>
      <c r="J991" s="1">
        <v>0</v>
      </c>
      <c r="K991" s="1">
        <v>496.95</v>
      </c>
      <c r="L991" s="1">
        <v>145.88999999999999</v>
      </c>
      <c r="M991" s="1">
        <v>33</v>
      </c>
      <c r="N991" s="1" t="s">
        <v>26</v>
      </c>
      <c r="O991" s="1" t="s">
        <v>27</v>
      </c>
    </row>
    <row r="992" spans="1:15" x14ac:dyDescent="0.25">
      <c r="A992" s="1">
        <v>100571</v>
      </c>
      <c r="B992" s="2">
        <v>45324</v>
      </c>
      <c r="C992" s="1" t="s">
        <v>1030</v>
      </c>
      <c r="D992" s="1" t="s">
        <v>22</v>
      </c>
      <c r="E992" s="1" t="s">
        <v>17</v>
      </c>
      <c r="F992" s="1" t="s">
        <v>1254</v>
      </c>
      <c r="G992" s="1" t="s">
        <v>18</v>
      </c>
      <c r="H992" s="1">
        <v>2</v>
      </c>
      <c r="I992" s="1">
        <v>24.21</v>
      </c>
      <c r="J992" s="1">
        <v>0</v>
      </c>
      <c r="K992" s="1">
        <v>48.42</v>
      </c>
      <c r="L992" s="1">
        <v>13.29</v>
      </c>
      <c r="M992" s="1">
        <v>25</v>
      </c>
      <c r="N992" s="1" t="s">
        <v>26</v>
      </c>
      <c r="O992" s="1" t="s">
        <v>20</v>
      </c>
    </row>
    <row r="993" spans="1:15" x14ac:dyDescent="0.2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x14ac:dyDescent="0.25">
      <c r="A994" s="1">
        <v>101144</v>
      </c>
      <c r="B994" s="2">
        <v>45874</v>
      </c>
      <c r="C994" s="1" t="s">
        <v>1032</v>
      </c>
      <c r="D994" s="1" t="s">
        <v>68</v>
      </c>
      <c r="E994" s="1" t="s">
        <v>25</v>
      </c>
      <c r="F994" s="1" t="s">
        <v>1240</v>
      </c>
      <c r="G994" s="1" t="s">
        <v>18</v>
      </c>
      <c r="H994" s="1">
        <v>3</v>
      </c>
      <c r="I994" s="1">
        <v>228.98</v>
      </c>
      <c r="J994" s="1">
        <v>0</v>
      </c>
      <c r="K994" s="1">
        <v>686.94</v>
      </c>
      <c r="L994" s="1">
        <v>181.13</v>
      </c>
      <c r="M994" s="1">
        <v>34</v>
      </c>
      <c r="N994" s="1" t="s">
        <v>26</v>
      </c>
      <c r="O994" s="1" t="s">
        <v>32</v>
      </c>
    </row>
    <row r="995" spans="1:15" x14ac:dyDescent="0.2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x14ac:dyDescent="0.2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x14ac:dyDescent="0.2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x14ac:dyDescent="0.2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x14ac:dyDescent="0.2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x14ac:dyDescent="0.25">
      <c r="A1000" s="1">
        <v>100989</v>
      </c>
      <c r="B1000" s="2">
        <v>45272</v>
      </c>
      <c r="C1000" s="1" t="s">
        <v>1038</v>
      </c>
      <c r="D1000" s="1" t="s">
        <v>34</v>
      </c>
      <c r="E1000" s="1" t="s">
        <v>30</v>
      </c>
      <c r="F1000" s="1" t="s">
        <v>1239</v>
      </c>
      <c r="G1000" s="1" t="s">
        <v>31</v>
      </c>
      <c r="H1000" s="1">
        <v>6</v>
      </c>
      <c r="I1000" s="1">
        <v>63.16</v>
      </c>
      <c r="J1000" s="1">
        <v>0</v>
      </c>
      <c r="K1000" s="1">
        <v>378.96</v>
      </c>
      <c r="L1000" s="1">
        <v>109</v>
      </c>
      <c r="M1000" s="1">
        <v>37</v>
      </c>
      <c r="N1000" s="1" t="s">
        <v>26</v>
      </c>
      <c r="O1000" s="1" t="s">
        <v>20</v>
      </c>
    </row>
    <row r="1001" spans="1:15" x14ac:dyDescent="0.25">
      <c r="A1001" s="1">
        <v>100414</v>
      </c>
      <c r="B1001" s="2">
        <v>45029</v>
      </c>
      <c r="C1001" s="1" t="s">
        <v>1039</v>
      </c>
      <c r="D1001" s="1" t="s">
        <v>42</v>
      </c>
      <c r="E1001" s="1" t="s">
        <v>25</v>
      </c>
      <c r="F1001" s="1" t="s">
        <v>1254</v>
      </c>
      <c r="G1001" s="1" t="s">
        <v>18</v>
      </c>
      <c r="H1001" s="1">
        <v>4</v>
      </c>
      <c r="I1001" s="1">
        <v>162.08000000000001</v>
      </c>
      <c r="J1001" s="1">
        <v>0</v>
      </c>
      <c r="K1001" s="1">
        <v>648.32000000000005</v>
      </c>
      <c r="L1001" s="1">
        <v>195.84</v>
      </c>
      <c r="M1001" s="1">
        <v>30</v>
      </c>
      <c r="N1001" s="1" t="s">
        <v>19</v>
      </c>
      <c r="O1001" s="1" t="s">
        <v>32</v>
      </c>
    </row>
    <row r="1002" spans="1:15" x14ac:dyDescent="0.2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x14ac:dyDescent="0.2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x14ac:dyDescent="0.2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x14ac:dyDescent="0.25">
      <c r="A1005" s="1">
        <v>100952</v>
      </c>
      <c r="B1005" s="2">
        <v>45364</v>
      </c>
      <c r="C1005" s="1" t="s">
        <v>1043</v>
      </c>
      <c r="D1005" s="1" t="s">
        <v>24</v>
      </c>
      <c r="E1005" s="1" t="s">
        <v>25</v>
      </c>
      <c r="F1005" s="1" t="s">
        <v>1254</v>
      </c>
      <c r="G1005" s="1" t="s">
        <v>31</v>
      </c>
      <c r="H1005" s="1">
        <v>4</v>
      </c>
      <c r="I1005" s="1">
        <v>95.66</v>
      </c>
      <c r="J1005" s="1">
        <v>0</v>
      </c>
      <c r="K1005" s="1">
        <v>382.64</v>
      </c>
      <c r="L1005" s="1">
        <v>106.68</v>
      </c>
      <c r="M1005" s="1">
        <v>39</v>
      </c>
      <c r="N1005" s="1" t="s">
        <v>26</v>
      </c>
      <c r="O1005" s="1" t="s">
        <v>35</v>
      </c>
    </row>
    <row r="1006" spans="1:15" x14ac:dyDescent="0.2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x14ac:dyDescent="0.25">
      <c r="A1007" s="1">
        <v>100778</v>
      </c>
      <c r="B1007" s="2">
        <v>45389</v>
      </c>
      <c r="C1007" s="1" t="s">
        <v>1045</v>
      </c>
      <c r="D1007" s="1" t="s">
        <v>53</v>
      </c>
      <c r="E1007" s="1" t="s">
        <v>30</v>
      </c>
      <c r="F1007" s="1" t="s">
        <v>1240</v>
      </c>
      <c r="G1007" s="1" t="s">
        <v>18</v>
      </c>
      <c r="H1007" s="1">
        <v>3</v>
      </c>
      <c r="I1007" s="1">
        <v>21.53</v>
      </c>
      <c r="J1007" s="1">
        <v>0</v>
      </c>
      <c r="K1007" s="1">
        <v>64.59</v>
      </c>
      <c r="L1007" s="1">
        <v>13.01</v>
      </c>
      <c r="M1007" s="1">
        <v>26</v>
      </c>
      <c r="N1007" s="1" t="s">
        <v>19</v>
      </c>
      <c r="O1007" s="1" t="s">
        <v>43</v>
      </c>
    </row>
    <row r="1008" spans="1:15" x14ac:dyDescent="0.2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x14ac:dyDescent="0.2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x14ac:dyDescent="0.25">
      <c r="A1010" s="1">
        <v>101142</v>
      </c>
      <c r="B1010" s="2">
        <v>45809</v>
      </c>
      <c r="C1010" s="1" t="s">
        <v>1048</v>
      </c>
      <c r="D1010" s="1" t="s">
        <v>34</v>
      </c>
      <c r="E1010" s="1" t="s">
        <v>30</v>
      </c>
      <c r="F1010" s="1" t="s">
        <v>1240</v>
      </c>
      <c r="G1010" s="1" t="s">
        <v>31</v>
      </c>
      <c r="H1010" s="1">
        <v>3</v>
      </c>
      <c r="I1010" s="1">
        <v>63.38</v>
      </c>
      <c r="J1010" s="1">
        <v>20</v>
      </c>
      <c r="K1010" s="1">
        <v>152.11000000000001</v>
      </c>
      <c r="L1010" s="1">
        <v>48.89</v>
      </c>
      <c r="M1010" s="1">
        <v>31</v>
      </c>
      <c r="N1010" s="1" t="s">
        <v>19</v>
      </c>
      <c r="O1010" s="1" t="s">
        <v>81</v>
      </c>
    </row>
    <row r="1011" spans="1:15" x14ac:dyDescent="0.2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x14ac:dyDescent="0.25">
      <c r="A1012" s="1">
        <v>100639</v>
      </c>
      <c r="B1012" s="2">
        <v>45656</v>
      </c>
      <c r="C1012" s="1" t="s">
        <v>1050</v>
      </c>
      <c r="D1012" s="1" t="s">
        <v>56</v>
      </c>
      <c r="E1012" s="1" t="s">
        <v>30</v>
      </c>
      <c r="F1012" s="1" t="s">
        <v>1254</v>
      </c>
      <c r="G1012" s="1" t="s">
        <v>31</v>
      </c>
      <c r="H1012" s="1">
        <v>1</v>
      </c>
      <c r="I1012" s="1">
        <v>48.04</v>
      </c>
      <c r="J1012" s="1">
        <v>40</v>
      </c>
      <c r="K1012" s="1">
        <v>28.82</v>
      </c>
      <c r="L1012" s="1">
        <v>13.53</v>
      </c>
      <c r="M1012" s="1">
        <v>23</v>
      </c>
      <c r="N1012" s="1" t="s">
        <v>26</v>
      </c>
      <c r="O1012" s="1" t="s">
        <v>81</v>
      </c>
    </row>
    <row r="1013" spans="1:15" x14ac:dyDescent="0.25">
      <c r="A1013" s="1">
        <v>100935</v>
      </c>
      <c r="B1013" s="2">
        <v>45131</v>
      </c>
      <c r="C1013" s="1" t="s">
        <v>1051</v>
      </c>
      <c r="D1013" s="1" t="s">
        <v>24</v>
      </c>
      <c r="E1013" s="1" t="s">
        <v>25</v>
      </c>
      <c r="F1013" s="1" t="s">
        <v>1240</v>
      </c>
      <c r="G1013" s="1" t="s">
        <v>18</v>
      </c>
      <c r="H1013" s="1">
        <v>1</v>
      </c>
      <c r="I1013" s="1">
        <v>76.73</v>
      </c>
      <c r="J1013" s="1">
        <v>10</v>
      </c>
      <c r="K1013" s="1">
        <v>69.06</v>
      </c>
      <c r="L1013" s="1">
        <v>23.17</v>
      </c>
      <c r="M1013" s="1">
        <v>54</v>
      </c>
      <c r="N1013" s="1" t="s">
        <v>19</v>
      </c>
      <c r="O1013" s="1" t="s">
        <v>27</v>
      </c>
    </row>
    <row r="1014" spans="1:15" x14ac:dyDescent="0.25">
      <c r="A1014" s="1">
        <v>100928</v>
      </c>
      <c r="B1014" s="2">
        <v>45346</v>
      </c>
      <c r="C1014" s="1" t="s">
        <v>1052</v>
      </c>
      <c r="D1014" s="1" t="s">
        <v>29</v>
      </c>
      <c r="E1014" s="1" t="s">
        <v>30</v>
      </c>
      <c r="F1014" s="1" t="s">
        <v>1240</v>
      </c>
      <c r="G1014" s="1" t="s">
        <v>18</v>
      </c>
      <c r="H1014" s="1">
        <v>3</v>
      </c>
      <c r="I1014" s="1">
        <v>18.350000000000001</v>
      </c>
      <c r="J1014" s="1">
        <v>20</v>
      </c>
      <c r="K1014" s="1">
        <v>44.04</v>
      </c>
      <c r="L1014" s="1">
        <v>18.399999999999999</v>
      </c>
      <c r="M1014" s="1">
        <v>38</v>
      </c>
      <c r="N1014" s="1" t="s">
        <v>26</v>
      </c>
      <c r="O1014" s="1" t="s">
        <v>46</v>
      </c>
    </row>
    <row r="1015" spans="1:15" x14ac:dyDescent="0.2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x14ac:dyDescent="0.2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x14ac:dyDescent="0.25">
      <c r="A1017" s="1">
        <v>100710</v>
      </c>
      <c r="B1017" s="2">
        <v>45273</v>
      </c>
      <c r="C1017" s="1" t="s">
        <v>1055</v>
      </c>
      <c r="D1017" s="1" t="s">
        <v>87</v>
      </c>
      <c r="E1017" s="1" t="s">
        <v>25</v>
      </c>
      <c r="F1017" s="1" t="s">
        <v>1254</v>
      </c>
      <c r="G1017" s="1" t="s">
        <v>18</v>
      </c>
      <c r="H1017" s="1">
        <v>2</v>
      </c>
      <c r="I1017" s="1">
        <v>75.56</v>
      </c>
      <c r="J1017" s="1">
        <v>0</v>
      </c>
      <c r="K1017" s="1">
        <v>151.12</v>
      </c>
      <c r="L1017" s="1">
        <v>33.24</v>
      </c>
      <c r="M1017" s="1">
        <v>22</v>
      </c>
      <c r="N1017" s="1" t="s">
        <v>19</v>
      </c>
      <c r="O1017" s="1" t="s">
        <v>20</v>
      </c>
    </row>
    <row r="1018" spans="1:15" x14ac:dyDescent="0.25">
      <c r="A1018" s="1">
        <v>101080</v>
      </c>
      <c r="B1018" s="2">
        <v>45595</v>
      </c>
      <c r="C1018" s="1" t="s">
        <v>1056</v>
      </c>
      <c r="D1018" s="1" t="s">
        <v>62</v>
      </c>
      <c r="E1018" s="1" t="s">
        <v>17</v>
      </c>
      <c r="F1018" s="1" t="s">
        <v>1240</v>
      </c>
      <c r="G1018" s="1" t="s">
        <v>48</v>
      </c>
      <c r="H1018" s="1">
        <v>2</v>
      </c>
      <c r="I1018" s="1">
        <v>118.66</v>
      </c>
      <c r="J1018" s="1">
        <v>0</v>
      </c>
      <c r="K1018" s="1">
        <v>237.32</v>
      </c>
      <c r="L1018" s="1">
        <v>70.12</v>
      </c>
      <c r="M1018" s="1">
        <v>24</v>
      </c>
      <c r="N1018" s="1" t="s">
        <v>19</v>
      </c>
      <c r="O1018" s="1" t="s">
        <v>51</v>
      </c>
    </row>
    <row r="1019" spans="1:15" x14ac:dyDescent="0.2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x14ac:dyDescent="0.25">
      <c r="A1020" s="1">
        <v>100146</v>
      </c>
      <c r="B1020" s="2">
        <v>45168</v>
      </c>
      <c r="C1020" s="1" t="s">
        <v>1058</v>
      </c>
      <c r="D1020" s="1" t="s">
        <v>87</v>
      </c>
      <c r="E1020" s="1" t="s">
        <v>25</v>
      </c>
      <c r="F1020" s="1" t="s">
        <v>1240</v>
      </c>
      <c r="G1020" s="1" t="s">
        <v>31</v>
      </c>
      <c r="H1020" s="1">
        <v>3</v>
      </c>
      <c r="I1020" s="1">
        <v>77.599999999999994</v>
      </c>
      <c r="J1020" s="1">
        <v>10</v>
      </c>
      <c r="K1020" s="1">
        <v>209.52</v>
      </c>
      <c r="L1020" s="1">
        <v>72.59</v>
      </c>
      <c r="M1020" s="1">
        <v>29</v>
      </c>
      <c r="N1020" s="1" t="s">
        <v>19</v>
      </c>
      <c r="O1020" s="1" t="s">
        <v>27</v>
      </c>
    </row>
    <row r="1021" spans="1:15" x14ac:dyDescent="0.25">
      <c r="A1021" s="1">
        <v>101174</v>
      </c>
      <c r="B1021" s="2">
        <v>45869</v>
      </c>
      <c r="C1021" s="1" t="s">
        <v>1059</v>
      </c>
      <c r="D1021" s="1" t="s">
        <v>16</v>
      </c>
      <c r="E1021" s="1" t="s">
        <v>17</v>
      </c>
      <c r="F1021" s="1" t="s">
        <v>1240</v>
      </c>
      <c r="G1021" s="1" t="s">
        <v>18</v>
      </c>
      <c r="H1021" s="1">
        <v>2</v>
      </c>
      <c r="I1021" s="1">
        <v>53.3</v>
      </c>
      <c r="J1021" s="1">
        <v>0</v>
      </c>
      <c r="K1021" s="1">
        <v>106.6</v>
      </c>
      <c r="L1021" s="1">
        <v>22.83</v>
      </c>
      <c r="M1021" s="1">
        <v>32</v>
      </c>
      <c r="N1021" s="1" t="s">
        <v>19</v>
      </c>
      <c r="O1021" s="1" t="s">
        <v>35</v>
      </c>
    </row>
    <row r="1022" spans="1:15" x14ac:dyDescent="0.2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x14ac:dyDescent="0.25">
      <c r="A1023" s="1">
        <v>100345</v>
      </c>
      <c r="B1023" s="2">
        <v>45318</v>
      </c>
      <c r="C1023" s="1" t="s">
        <v>1061</v>
      </c>
      <c r="D1023" s="1" t="s">
        <v>34</v>
      </c>
      <c r="E1023" s="1" t="s">
        <v>30</v>
      </c>
      <c r="F1023" s="1" t="s">
        <v>1240</v>
      </c>
      <c r="G1023" s="1" t="s">
        <v>18</v>
      </c>
      <c r="H1023" s="1">
        <v>1</v>
      </c>
      <c r="I1023" s="1">
        <v>57.64</v>
      </c>
      <c r="J1023" s="1">
        <v>20</v>
      </c>
      <c r="K1023" s="1">
        <v>46.11</v>
      </c>
      <c r="L1023" s="1">
        <v>14.49</v>
      </c>
      <c r="M1023" s="1">
        <v>24</v>
      </c>
      <c r="N1023" s="1" t="s">
        <v>26</v>
      </c>
      <c r="O1023" s="1" t="s">
        <v>35</v>
      </c>
    </row>
    <row r="1024" spans="1:15" x14ac:dyDescent="0.2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x14ac:dyDescent="0.25">
      <c r="A1025" s="1">
        <v>100931</v>
      </c>
      <c r="B1025" s="2">
        <v>45788</v>
      </c>
      <c r="C1025" s="1" t="s">
        <v>1063</v>
      </c>
      <c r="D1025" s="1" t="s">
        <v>42</v>
      </c>
      <c r="E1025" s="1" t="s">
        <v>25</v>
      </c>
      <c r="F1025" s="1" t="s">
        <v>1240</v>
      </c>
      <c r="G1025" s="1" t="s">
        <v>18</v>
      </c>
      <c r="H1025" s="1">
        <v>4</v>
      </c>
      <c r="I1025" s="1">
        <v>174.33</v>
      </c>
      <c r="J1025" s="1">
        <v>20</v>
      </c>
      <c r="K1025" s="1">
        <v>557.86</v>
      </c>
      <c r="L1025" s="1">
        <v>139.22999999999999</v>
      </c>
      <c r="M1025" s="1">
        <v>16</v>
      </c>
      <c r="N1025" s="1" t="s">
        <v>26</v>
      </c>
      <c r="O1025" s="1" t="s">
        <v>32</v>
      </c>
    </row>
    <row r="1026" spans="1:15" x14ac:dyDescent="0.25">
      <c r="A1026" s="1">
        <v>100954</v>
      </c>
      <c r="B1026" s="2">
        <v>45085</v>
      </c>
      <c r="C1026" s="1" t="s">
        <v>1064</v>
      </c>
      <c r="D1026" s="1" t="s">
        <v>73</v>
      </c>
      <c r="E1026" s="1" t="s">
        <v>25</v>
      </c>
      <c r="F1026" s="1" t="s">
        <v>1254</v>
      </c>
      <c r="G1026" s="1" t="s">
        <v>31</v>
      </c>
      <c r="H1026" s="1">
        <v>2</v>
      </c>
      <c r="I1026" s="1">
        <v>33.6</v>
      </c>
      <c r="J1026" s="1">
        <v>10</v>
      </c>
      <c r="K1026" s="1">
        <v>60.48</v>
      </c>
      <c r="L1026" s="1">
        <v>17.829999999999998</v>
      </c>
      <c r="M1026" s="1">
        <v>32</v>
      </c>
      <c r="N1026" s="1" t="s">
        <v>26</v>
      </c>
      <c r="O1026" s="1" t="s">
        <v>32</v>
      </c>
    </row>
    <row r="1027" spans="1:15" x14ac:dyDescent="0.2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x14ac:dyDescent="0.2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x14ac:dyDescent="0.2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x14ac:dyDescent="0.25">
      <c r="A1030" s="1">
        <v>100186</v>
      </c>
      <c r="B1030" s="2">
        <v>45800</v>
      </c>
      <c r="C1030" s="1" t="s">
        <v>1068</v>
      </c>
      <c r="D1030" s="1" t="s">
        <v>24</v>
      </c>
      <c r="E1030" s="1" t="s">
        <v>25</v>
      </c>
      <c r="F1030" s="1" t="s">
        <v>1254</v>
      </c>
      <c r="G1030" s="1" t="s">
        <v>18</v>
      </c>
      <c r="H1030" s="1">
        <v>4</v>
      </c>
      <c r="I1030" s="1">
        <v>82.96</v>
      </c>
      <c r="J1030" s="1">
        <v>5</v>
      </c>
      <c r="K1030" s="1">
        <v>315.25</v>
      </c>
      <c r="L1030" s="1">
        <v>106.56</v>
      </c>
      <c r="M1030" s="1">
        <v>22</v>
      </c>
      <c r="N1030" s="1" t="s">
        <v>26</v>
      </c>
      <c r="O1030" s="1" t="s">
        <v>43</v>
      </c>
    </row>
    <row r="1031" spans="1:15" x14ac:dyDescent="0.2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x14ac:dyDescent="0.25">
      <c r="A1032" s="1">
        <v>100143</v>
      </c>
      <c r="B1032" s="2">
        <v>45223</v>
      </c>
      <c r="C1032" s="1" t="s">
        <v>1070</v>
      </c>
      <c r="D1032" s="1" t="s">
        <v>87</v>
      </c>
      <c r="E1032" s="1" t="s">
        <v>25</v>
      </c>
      <c r="F1032" s="1" t="s">
        <v>1239</v>
      </c>
      <c r="G1032" s="1" t="s">
        <v>18</v>
      </c>
      <c r="H1032" s="1">
        <v>4</v>
      </c>
      <c r="I1032" s="1">
        <v>102.9</v>
      </c>
      <c r="J1032" s="1">
        <v>5</v>
      </c>
      <c r="K1032" s="1">
        <v>391.02</v>
      </c>
      <c r="L1032" s="1">
        <v>106.05</v>
      </c>
      <c r="M1032" s="1">
        <v>30</v>
      </c>
      <c r="N1032" s="1" t="s">
        <v>19</v>
      </c>
      <c r="O1032" s="1" t="s">
        <v>46</v>
      </c>
    </row>
    <row r="1033" spans="1:15" x14ac:dyDescent="0.2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x14ac:dyDescent="0.25">
      <c r="A1034" s="1">
        <v>100981</v>
      </c>
      <c r="B1034" s="2">
        <v>45192</v>
      </c>
      <c r="C1034" s="1" t="s">
        <v>1072</v>
      </c>
      <c r="D1034" s="1" t="s">
        <v>87</v>
      </c>
      <c r="E1034" s="1" t="s">
        <v>25</v>
      </c>
      <c r="F1034" s="1" t="s">
        <v>1240</v>
      </c>
      <c r="G1034" s="1" t="s">
        <v>18</v>
      </c>
      <c r="H1034" s="1">
        <v>4</v>
      </c>
      <c r="I1034" s="1">
        <v>82.89</v>
      </c>
      <c r="J1034" s="1">
        <v>5</v>
      </c>
      <c r="K1034" s="1">
        <v>314.98</v>
      </c>
      <c r="L1034" s="1">
        <v>108.31</v>
      </c>
      <c r="M1034" s="1">
        <v>28</v>
      </c>
      <c r="N1034" s="1" t="s">
        <v>19</v>
      </c>
      <c r="O1034" s="1" t="s">
        <v>51</v>
      </c>
    </row>
    <row r="1035" spans="1:15" x14ac:dyDescent="0.25">
      <c r="A1035" s="1">
        <v>100197</v>
      </c>
      <c r="B1035" s="2">
        <v>45678</v>
      </c>
      <c r="C1035" s="1" t="s">
        <v>1073</v>
      </c>
      <c r="D1035" s="1" t="s">
        <v>59</v>
      </c>
      <c r="E1035" s="1" t="s">
        <v>17</v>
      </c>
      <c r="F1035" s="1" t="s">
        <v>1240</v>
      </c>
      <c r="G1035" s="1" t="s">
        <v>18</v>
      </c>
      <c r="H1035" s="1">
        <v>4</v>
      </c>
      <c r="I1035" s="1">
        <v>32.51</v>
      </c>
      <c r="J1035" s="1">
        <v>0</v>
      </c>
      <c r="K1035" s="1">
        <v>130.04</v>
      </c>
      <c r="L1035" s="1">
        <v>35.06</v>
      </c>
      <c r="M1035" s="1">
        <v>37</v>
      </c>
      <c r="N1035" s="1" t="s">
        <v>19</v>
      </c>
      <c r="O1035" s="1" t="s">
        <v>43</v>
      </c>
    </row>
    <row r="1036" spans="1:15" x14ac:dyDescent="0.25">
      <c r="A1036" s="1">
        <v>100883</v>
      </c>
      <c r="B1036" s="2">
        <v>45567</v>
      </c>
      <c r="C1036" s="1" t="s">
        <v>1074</v>
      </c>
      <c r="D1036" s="1" t="s">
        <v>29</v>
      </c>
      <c r="E1036" s="1" t="s">
        <v>30</v>
      </c>
      <c r="F1036" s="1" t="s">
        <v>1240</v>
      </c>
      <c r="G1036" s="1" t="s">
        <v>18</v>
      </c>
      <c r="H1036" s="1">
        <v>3</v>
      </c>
      <c r="I1036" s="1">
        <v>18.16</v>
      </c>
      <c r="J1036" s="1">
        <v>0</v>
      </c>
      <c r="K1036" s="1">
        <v>54.48</v>
      </c>
      <c r="L1036" s="1">
        <v>10.23</v>
      </c>
      <c r="M1036" s="1">
        <v>46</v>
      </c>
      <c r="N1036" s="1" t="s">
        <v>26</v>
      </c>
      <c r="O1036" s="1" t="s">
        <v>43</v>
      </c>
    </row>
    <row r="1037" spans="1:15" x14ac:dyDescent="0.25">
      <c r="A1037" s="1">
        <v>100279</v>
      </c>
      <c r="B1037" s="2">
        <v>45523</v>
      </c>
      <c r="C1037" s="1" t="s">
        <v>1075</v>
      </c>
      <c r="D1037" s="1" t="s">
        <v>62</v>
      </c>
      <c r="E1037" s="1" t="s">
        <v>17</v>
      </c>
      <c r="F1037" s="1" t="s">
        <v>1254</v>
      </c>
      <c r="G1037" s="1" t="s">
        <v>48</v>
      </c>
      <c r="H1037" s="1">
        <v>2</v>
      </c>
      <c r="I1037" s="1">
        <v>133.16999999999999</v>
      </c>
      <c r="J1037" s="1">
        <v>0</v>
      </c>
      <c r="K1037" s="1">
        <v>266.33999999999997</v>
      </c>
      <c r="L1037" s="1">
        <v>62.03</v>
      </c>
      <c r="M1037" s="1">
        <v>35</v>
      </c>
      <c r="N1037" s="1" t="s">
        <v>26</v>
      </c>
      <c r="O1037" s="1" t="s">
        <v>81</v>
      </c>
    </row>
    <row r="1038" spans="1:15" x14ac:dyDescent="0.25">
      <c r="A1038" s="1">
        <v>100293</v>
      </c>
      <c r="B1038" s="2">
        <v>45222</v>
      </c>
      <c r="C1038" s="1" t="s">
        <v>1076</v>
      </c>
      <c r="D1038" s="1" t="s">
        <v>68</v>
      </c>
      <c r="E1038" s="1" t="s">
        <v>25</v>
      </c>
      <c r="F1038" s="1" t="s">
        <v>1254</v>
      </c>
      <c r="G1038" s="1" t="s">
        <v>31</v>
      </c>
      <c r="H1038" s="1">
        <v>4</v>
      </c>
      <c r="I1038" s="1">
        <v>225.31</v>
      </c>
      <c r="J1038" s="1">
        <v>20</v>
      </c>
      <c r="K1038" s="1">
        <v>720.99</v>
      </c>
      <c r="L1038" s="1">
        <v>212.69</v>
      </c>
      <c r="M1038" s="1">
        <v>28</v>
      </c>
      <c r="N1038" s="1" t="s">
        <v>19</v>
      </c>
      <c r="O1038" s="1" t="s">
        <v>81</v>
      </c>
    </row>
    <row r="1039" spans="1:15" x14ac:dyDescent="0.25">
      <c r="A1039" s="1">
        <v>101088</v>
      </c>
      <c r="B1039" s="2">
        <v>45274</v>
      </c>
      <c r="C1039" s="1" t="s">
        <v>1077</v>
      </c>
      <c r="D1039" s="1" t="s">
        <v>16</v>
      </c>
      <c r="E1039" s="1" t="s">
        <v>17</v>
      </c>
      <c r="F1039" s="1" t="s">
        <v>1254</v>
      </c>
      <c r="G1039" s="1" t="s">
        <v>18</v>
      </c>
      <c r="H1039" s="1">
        <v>2</v>
      </c>
      <c r="I1039" s="1">
        <v>56.29</v>
      </c>
      <c r="J1039" s="1">
        <v>5</v>
      </c>
      <c r="K1039" s="1">
        <v>106.95</v>
      </c>
      <c r="L1039" s="1">
        <v>34.26</v>
      </c>
      <c r="M1039" s="1">
        <v>22</v>
      </c>
      <c r="N1039" s="1" t="s">
        <v>19</v>
      </c>
      <c r="O1039" s="1" t="s">
        <v>32</v>
      </c>
    </row>
    <row r="1040" spans="1:15" x14ac:dyDescent="0.25">
      <c r="A1040" s="1">
        <v>100400</v>
      </c>
      <c r="B1040" s="2">
        <v>45267</v>
      </c>
      <c r="C1040" s="1" t="s">
        <v>1078</v>
      </c>
      <c r="D1040" s="1" t="s">
        <v>42</v>
      </c>
      <c r="E1040" s="1" t="s">
        <v>25</v>
      </c>
      <c r="F1040" s="1" t="s">
        <v>1240</v>
      </c>
      <c r="G1040" s="1" t="s">
        <v>31</v>
      </c>
      <c r="H1040" s="1">
        <v>1</v>
      </c>
      <c r="I1040" s="1">
        <v>165.61</v>
      </c>
      <c r="J1040" s="1">
        <v>5</v>
      </c>
      <c r="K1040" s="1">
        <v>157.33000000000001</v>
      </c>
      <c r="L1040" s="1">
        <v>47.35</v>
      </c>
      <c r="M1040" s="1">
        <v>28</v>
      </c>
      <c r="N1040" s="1" t="s">
        <v>26</v>
      </c>
      <c r="O1040" s="1" t="s">
        <v>35</v>
      </c>
    </row>
    <row r="1041" spans="1:15" x14ac:dyDescent="0.2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x14ac:dyDescent="0.2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x14ac:dyDescent="0.2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x14ac:dyDescent="0.25">
      <c r="A1044" s="1">
        <v>100246</v>
      </c>
      <c r="B1044" s="2">
        <v>45871</v>
      </c>
      <c r="C1044" s="1" t="s">
        <v>1082</v>
      </c>
      <c r="D1044" s="1" t="s">
        <v>29</v>
      </c>
      <c r="E1044" s="1" t="s">
        <v>30</v>
      </c>
      <c r="F1044" s="1" t="s">
        <v>1240</v>
      </c>
      <c r="G1044" s="1" t="s">
        <v>31</v>
      </c>
      <c r="H1044" s="1">
        <v>2</v>
      </c>
      <c r="I1044" s="1">
        <v>18.82</v>
      </c>
      <c r="J1044" s="1">
        <v>0</v>
      </c>
      <c r="K1044" s="1">
        <v>37.64</v>
      </c>
      <c r="L1044" s="1">
        <v>14</v>
      </c>
      <c r="M1044" s="1">
        <v>20</v>
      </c>
      <c r="N1044" s="1" t="s">
        <v>26</v>
      </c>
      <c r="O1044" s="1" t="s">
        <v>20</v>
      </c>
    </row>
    <row r="1045" spans="1:15" x14ac:dyDescent="0.25">
      <c r="A1045" s="1">
        <v>101139</v>
      </c>
      <c r="B1045" s="2">
        <v>45272</v>
      </c>
      <c r="C1045" s="1" t="s">
        <v>1083</v>
      </c>
      <c r="D1045" s="1" t="s">
        <v>39</v>
      </c>
      <c r="E1045" s="1" t="s">
        <v>25</v>
      </c>
      <c r="F1045" s="1" t="s">
        <v>1240</v>
      </c>
      <c r="G1045" s="1" t="s">
        <v>48</v>
      </c>
      <c r="H1045" s="1">
        <v>4</v>
      </c>
      <c r="I1045" s="1">
        <v>173.14</v>
      </c>
      <c r="J1045" s="1">
        <v>10</v>
      </c>
      <c r="K1045" s="1">
        <v>623.29999999999995</v>
      </c>
      <c r="L1045" s="1">
        <v>146.57</v>
      </c>
      <c r="M1045" s="1">
        <v>24</v>
      </c>
      <c r="N1045" s="1" t="s">
        <v>19</v>
      </c>
      <c r="O1045" s="1" t="s">
        <v>20</v>
      </c>
    </row>
    <row r="1046" spans="1:15" x14ac:dyDescent="0.2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x14ac:dyDescent="0.2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x14ac:dyDescent="0.25">
      <c r="A1048" s="1">
        <v>100219</v>
      </c>
      <c r="B1048" s="2">
        <v>45415</v>
      </c>
      <c r="C1048" s="1" t="s">
        <v>1086</v>
      </c>
      <c r="D1048" s="1" t="s">
        <v>73</v>
      </c>
      <c r="E1048" s="1" t="s">
        <v>25</v>
      </c>
      <c r="F1048" s="1" t="s">
        <v>1240</v>
      </c>
      <c r="G1048" s="1" t="s">
        <v>18</v>
      </c>
      <c r="H1048" s="1">
        <v>3</v>
      </c>
      <c r="I1048" s="1">
        <v>37.83</v>
      </c>
      <c r="J1048" s="1">
        <v>0</v>
      </c>
      <c r="K1048" s="1">
        <v>113.49</v>
      </c>
      <c r="L1048" s="1">
        <v>34.380000000000003</v>
      </c>
      <c r="M1048" s="1">
        <v>39</v>
      </c>
      <c r="N1048" s="1" t="s">
        <v>26</v>
      </c>
      <c r="O1048" s="1" t="s">
        <v>27</v>
      </c>
    </row>
    <row r="1049" spans="1:15" x14ac:dyDescent="0.2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x14ac:dyDescent="0.2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x14ac:dyDescent="0.25">
      <c r="A1051" s="1">
        <v>100112</v>
      </c>
      <c r="B1051" s="2">
        <v>45862</v>
      </c>
      <c r="C1051" s="1" t="s">
        <v>1089</v>
      </c>
      <c r="D1051" s="1" t="s">
        <v>53</v>
      </c>
      <c r="E1051" s="1" t="s">
        <v>30</v>
      </c>
      <c r="F1051" s="1" t="s">
        <v>1240</v>
      </c>
      <c r="G1051" s="1" t="s">
        <v>48</v>
      </c>
      <c r="H1051" s="1">
        <v>4</v>
      </c>
      <c r="I1051" s="1">
        <v>20.440000000000001</v>
      </c>
      <c r="J1051" s="1">
        <v>0</v>
      </c>
      <c r="K1051" s="1">
        <v>81.760000000000005</v>
      </c>
      <c r="L1051" s="1">
        <v>28.62</v>
      </c>
      <c r="M1051" s="1">
        <v>34</v>
      </c>
      <c r="N1051" s="1" t="s">
        <v>19</v>
      </c>
      <c r="O1051" s="1" t="s">
        <v>46</v>
      </c>
    </row>
    <row r="1052" spans="1:15" x14ac:dyDescent="0.2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x14ac:dyDescent="0.2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x14ac:dyDescent="0.25">
      <c r="A1054" s="1">
        <v>101078</v>
      </c>
      <c r="B1054" s="2">
        <v>45880</v>
      </c>
      <c r="C1054" s="1" t="s">
        <v>1092</v>
      </c>
      <c r="D1054" s="1" t="s">
        <v>42</v>
      </c>
      <c r="E1054" s="1" t="s">
        <v>25</v>
      </c>
      <c r="F1054" s="1" t="s">
        <v>1240</v>
      </c>
      <c r="G1054" s="1" t="s">
        <v>18</v>
      </c>
      <c r="H1054" s="1">
        <v>2</v>
      </c>
      <c r="I1054" s="1">
        <v>130.94999999999999</v>
      </c>
      <c r="J1054" s="1">
        <v>40</v>
      </c>
      <c r="K1054" s="1">
        <v>157.13999999999999</v>
      </c>
      <c r="L1054" s="1">
        <v>45.5</v>
      </c>
      <c r="M1054" s="1">
        <v>16</v>
      </c>
      <c r="N1054" s="1" t="s">
        <v>19</v>
      </c>
      <c r="O1054" s="1" t="s">
        <v>51</v>
      </c>
    </row>
    <row r="1055" spans="1:15" x14ac:dyDescent="0.25">
      <c r="A1055" s="1">
        <v>100441</v>
      </c>
      <c r="B1055" s="2">
        <v>45688</v>
      </c>
      <c r="C1055" s="1" t="s">
        <v>1093</v>
      </c>
      <c r="D1055" s="1" t="s">
        <v>22</v>
      </c>
      <c r="E1055" s="1" t="s">
        <v>17</v>
      </c>
      <c r="F1055" s="1" t="s">
        <v>1254</v>
      </c>
      <c r="G1055" s="1" t="s">
        <v>48</v>
      </c>
      <c r="H1055" s="1">
        <v>4</v>
      </c>
      <c r="I1055" s="1">
        <v>22.98</v>
      </c>
      <c r="J1055" s="1">
        <v>20</v>
      </c>
      <c r="K1055" s="1">
        <v>73.540000000000006</v>
      </c>
      <c r="L1055" s="1">
        <v>25.5</v>
      </c>
      <c r="M1055" s="1">
        <v>45</v>
      </c>
      <c r="N1055" s="1" t="s">
        <v>26</v>
      </c>
      <c r="O1055" s="1" t="s">
        <v>51</v>
      </c>
    </row>
    <row r="1056" spans="1:15" x14ac:dyDescent="0.2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x14ac:dyDescent="0.25">
      <c r="A1057" s="1">
        <v>101196</v>
      </c>
      <c r="B1057" s="2">
        <v>45642</v>
      </c>
      <c r="C1057" s="1" t="s">
        <v>1095</v>
      </c>
      <c r="D1057" s="1" t="s">
        <v>29</v>
      </c>
      <c r="E1057" s="1" t="s">
        <v>30</v>
      </c>
      <c r="F1057" s="1" t="s">
        <v>1239</v>
      </c>
      <c r="G1057" s="1" t="s">
        <v>31</v>
      </c>
      <c r="H1057" s="1">
        <v>3</v>
      </c>
      <c r="I1057" s="1">
        <v>19.61</v>
      </c>
      <c r="J1057" s="1">
        <v>5</v>
      </c>
      <c r="K1057" s="1">
        <v>55.89</v>
      </c>
      <c r="L1057" s="1">
        <v>23.43</v>
      </c>
      <c r="M1057" s="1">
        <v>46</v>
      </c>
      <c r="N1057" s="1" t="s">
        <v>26</v>
      </c>
      <c r="O1057" s="1" t="s">
        <v>20</v>
      </c>
    </row>
    <row r="1058" spans="1:15" x14ac:dyDescent="0.2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x14ac:dyDescent="0.2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x14ac:dyDescent="0.2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x14ac:dyDescent="0.2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x14ac:dyDescent="0.25">
      <c r="A1062" s="1">
        <v>100627</v>
      </c>
      <c r="B1062" s="2">
        <v>45140</v>
      </c>
      <c r="C1062" s="1" t="s">
        <v>1100</v>
      </c>
      <c r="D1062" s="1" t="s">
        <v>77</v>
      </c>
      <c r="E1062" s="1" t="s">
        <v>30</v>
      </c>
      <c r="F1062" s="1" t="s">
        <v>1239</v>
      </c>
      <c r="G1062" s="1" t="s">
        <v>31</v>
      </c>
      <c r="H1062" s="1">
        <v>2</v>
      </c>
      <c r="I1062" s="1">
        <v>40.25</v>
      </c>
      <c r="J1062" s="1">
        <v>5</v>
      </c>
      <c r="K1062" s="1">
        <v>76.47</v>
      </c>
      <c r="L1062" s="1">
        <v>25.66</v>
      </c>
      <c r="M1062" s="1">
        <v>16</v>
      </c>
      <c r="N1062" s="1" t="s">
        <v>26</v>
      </c>
      <c r="O1062" s="1" t="s">
        <v>51</v>
      </c>
    </row>
    <row r="1063" spans="1:15" x14ac:dyDescent="0.25">
      <c r="A1063" s="1">
        <v>100632</v>
      </c>
      <c r="B1063" s="2">
        <v>45867</v>
      </c>
      <c r="C1063" s="1" t="s">
        <v>1101</v>
      </c>
      <c r="D1063" s="1" t="s">
        <v>34</v>
      </c>
      <c r="E1063" s="1" t="s">
        <v>30</v>
      </c>
      <c r="F1063" s="1" t="s">
        <v>1254</v>
      </c>
      <c r="G1063" s="1" t="s">
        <v>64</v>
      </c>
      <c r="H1063" s="1">
        <v>4</v>
      </c>
      <c r="I1063" s="1">
        <v>61.02</v>
      </c>
      <c r="J1063" s="1">
        <v>0</v>
      </c>
      <c r="K1063" s="1">
        <v>244.08</v>
      </c>
      <c r="L1063" s="1">
        <v>98.09</v>
      </c>
      <c r="M1063" s="1">
        <v>36</v>
      </c>
      <c r="N1063" s="1" t="s">
        <v>19</v>
      </c>
      <c r="O1063" s="1" t="s">
        <v>32</v>
      </c>
    </row>
    <row r="1064" spans="1:15" x14ac:dyDescent="0.2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x14ac:dyDescent="0.25">
      <c r="A1065" s="1">
        <v>101106</v>
      </c>
      <c r="B1065" s="2">
        <v>45542</v>
      </c>
      <c r="C1065" s="1" t="s">
        <v>1103</v>
      </c>
      <c r="D1065" s="1" t="s">
        <v>62</v>
      </c>
      <c r="E1065" s="1" t="s">
        <v>17</v>
      </c>
      <c r="F1065" s="1" t="s">
        <v>1240</v>
      </c>
      <c r="G1065" s="1" t="s">
        <v>18</v>
      </c>
      <c r="H1065" s="1">
        <v>2</v>
      </c>
      <c r="I1065" s="1">
        <v>139.21</v>
      </c>
      <c r="J1065" s="1">
        <v>20</v>
      </c>
      <c r="K1065" s="1">
        <v>222.74</v>
      </c>
      <c r="L1065" s="1">
        <v>28.66</v>
      </c>
      <c r="M1065" s="1">
        <v>28</v>
      </c>
      <c r="N1065" s="1" t="s">
        <v>19</v>
      </c>
      <c r="O1065" s="1" t="s">
        <v>81</v>
      </c>
    </row>
    <row r="1066" spans="1:15" x14ac:dyDescent="0.25">
      <c r="A1066" s="1">
        <v>100795</v>
      </c>
      <c r="B1066" s="2">
        <v>45135</v>
      </c>
      <c r="C1066" s="1" t="s">
        <v>1104</v>
      </c>
      <c r="D1066" s="1" t="s">
        <v>16</v>
      </c>
      <c r="E1066" s="1" t="s">
        <v>17</v>
      </c>
      <c r="F1066" s="1" t="s">
        <v>1240</v>
      </c>
      <c r="G1066" s="1" t="s">
        <v>31</v>
      </c>
      <c r="H1066" s="1">
        <v>2</v>
      </c>
      <c r="I1066" s="1">
        <v>48.21</v>
      </c>
      <c r="J1066" s="1">
        <v>20</v>
      </c>
      <c r="K1066" s="1">
        <v>77.14</v>
      </c>
      <c r="L1066" s="1">
        <v>22.36</v>
      </c>
      <c r="M1066" s="1">
        <v>47</v>
      </c>
      <c r="N1066" s="1" t="s">
        <v>26</v>
      </c>
      <c r="O1066" s="1" t="s">
        <v>51</v>
      </c>
    </row>
    <row r="1067" spans="1:15" x14ac:dyDescent="0.25">
      <c r="A1067" s="1">
        <v>100645</v>
      </c>
      <c r="B1067" s="2">
        <v>45011</v>
      </c>
      <c r="C1067" s="1" t="s">
        <v>1105</v>
      </c>
      <c r="D1067" s="1" t="s">
        <v>68</v>
      </c>
      <c r="E1067" s="1" t="s">
        <v>25</v>
      </c>
      <c r="F1067" s="1" t="s">
        <v>1254</v>
      </c>
      <c r="G1067" s="1" t="s">
        <v>18</v>
      </c>
      <c r="H1067" s="1">
        <v>2</v>
      </c>
      <c r="I1067" s="1">
        <v>216.3</v>
      </c>
      <c r="J1067" s="1">
        <v>0</v>
      </c>
      <c r="K1067" s="1">
        <v>432.6</v>
      </c>
      <c r="L1067" s="1">
        <v>118.14</v>
      </c>
      <c r="M1067" s="1">
        <v>28</v>
      </c>
      <c r="N1067" s="1" t="s">
        <v>26</v>
      </c>
      <c r="O1067" s="1" t="s">
        <v>20</v>
      </c>
    </row>
    <row r="1068" spans="1:15" x14ac:dyDescent="0.2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x14ac:dyDescent="0.2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x14ac:dyDescent="0.25">
      <c r="A1070" s="1">
        <v>100681</v>
      </c>
      <c r="B1070" s="2">
        <v>45685</v>
      </c>
      <c r="C1070" s="1" t="s">
        <v>1108</v>
      </c>
      <c r="D1070" s="1" t="s">
        <v>70</v>
      </c>
      <c r="E1070" s="1" t="s">
        <v>25</v>
      </c>
      <c r="F1070" s="1" t="s">
        <v>1240</v>
      </c>
      <c r="G1070" s="1" t="s">
        <v>31</v>
      </c>
      <c r="H1070" s="1">
        <v>4</v>
      </c>
      <c r="I1070" s="1">
        <v>140.09</v>
      </c>
      <c r="J1070" s="1">
        <v>0</v>
      </c>
      <c r="K1070" s="1">
        <v>560.36</v>
      </c>
      <c r="L1070" s="1">
        <v>172.6</v>
      </c>
      <c r="M1070" s="1">
        <v>47</v>
      </c>
      <c r="N1070" s="1" t="s">
        <v>26</v>
      </c>
      <c r="O1070" s="1" t="s">
        <v>27</v>
      </c>
    </row>
    <row r="1071" spans="1:15" x14ac:dyDescent="0.2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x14ac:dyDescent="0.25">
      <c r="A1072" s="1">
        <v>100524</v>
      </c>
      <c r="B1072" s="2">
        <v>45349</v>
      </c>
      <c r="C1072" s="1" t="s">
        <v>1110</v>
      </c>
      <c r="D1072" s="1" t="s">
        <v>22</v>
      </c>
      <c r="E1072" s="1" t="s">
        <v>17</v>
      </c>
      <c r="F1072" s="1" t="s">
        <v>1240</v>
      </c>
      <c r="G1072" s="1" t="s">
        <v>31</v>
      </c>
      <c r="H1072" s="1">
        <v>2</v>
      </c>
      <c r="I1072" s="1">
        <v>25.7</v>
      </c>
      <c r="J1072" s="1">
        <v>20</v>
      </c>
      <c r="K1072" s="1">
        <v>41.12</v>
      </c>
      <c r="L1072" s="1">
        <v>9.0399999999999991</v>
      </c>
      <c r="M1072" s="1">
        <v>29</v>
      </c>
      <c r="N1072" s="1" t="s">
        <v>19</v>
      </c>
      <c r="O1072" s="1" t="s">
        <v>35</v>
      </c>
    </row>
    <row r="1073" spans="1:15" x14ac:dyDescent="0.2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x14ac:dyDescent="0.25">
      <c r="A1074" s="1">
        <v>100540</v>
      </c>
      <c r="B1074" s="2">
        <v>45293</v>
      </c>
      <c r="C1074" s="1" t="s">
        <v>1112</v>
      </c>
      <c r="D1074" s="1" t="s">
        <v>68</v>
      </c>
      <c r="E1074" s="1" t="s">
        <v>25</v>
      </c>
      <c r="F1074" s="1" t="s">
        <v>1240</v>
      </c>
      <c r="G1074" s="1" t="s">
        <v>31</v>
      </c>
      <c r="H1074" s="1">
        <v>3</v>
      </c>
      <c r="I1074" s="1">
        <v>233.52</v>
      </c>
      <c r="J1074" s="1">
        <v>40</v>
      </c>
      <c r="K1074" s="1">
        <v>420.34</v>
      </c>
      <c r="L1074" s="1">
        <v>130.63</v>
      </c>
      <c r="M1074" s="1">
        <v>30</v>
      </c>
      <c r="N1074" s="1" t="s">
        <v>19</v>
      </c>
      <c r="O1074" s="1" t="s">
        <v>46</v>
      </c>
    </row>
    <row r="1075" spans="1:15" x14ac:dyDescent="0.25">
      <c r="A1075" s="1">
        <v>100748</v>
      </c>
      <c r="B1075" s="2">
        <v>45832</v>
      </c>
      <c r="C1075" s="1" t="s">
        <v>1113</v>
      </c>
      <c r="D1075" s="1" t="s">
        <v>42</v>
      </c>
      <c r="E1075" s="1" t="s">
        <v>25</v>
      </c>
      <c r="F1075" s="1" t="s">
        <v>1240</v>
      </c>
      <c r="G1075" s="1" t="s">
        <v>31</v>
      </c>
      <c r="H1075" s="1">
        <v>4</v>
      </c>
      <c r="I1075" s="1">
        <v>148.94999999999999</v>
      </c>
      <c r="J1075" s="1">
        <v>5</v>
      </c>
      <c r="K1075" s="1">
        <v>566.01</v>
      </c>
      <c r="L1075" s="1">
        <v>168.92</v>
      </c>
      <c r="M1075" s="1">
        <v>16</v>
      </c>
      <c r="N1075" s="1" t="s">
        <v>26</v>
      </c>
      <c r="O1075" s="1" t="s">
        <v>27</v>
      </c>
    </row>
    <row r="1076" spans="1:15" x14ac:dyDescent="0.25">
      <c r="A1076" s="1">
        <v>101109</v>
      </c>
      <c r="B1076" s="2">
        <v>45309</v>
      </c>
      <c r="C1076" s="1" t="s">
        <v>1114</v>
      </c>
      <c r="D1076" s="1" t="s">
        <v>42</v>
      </c>
      <c r="E1076" s="1" t="s">
        <v>25</v>
      </c>
      <c r="F1076" s="1" t="s">
        <v>1240</v>
      </c>
      <c r="G1076" s="1" t="s">
        <v>18</v>
      </c>
      <c r="H1076" s="1">
        <v>3</v>
      </c>
      <c r="I1076" s="1">
        <v>146.69</v>
      </c>
      <c r="J1076" s="1">
        <v>0</v>
      </c>
      <c r="K1076" s="1">
        <v>440.07</v>
      </c>
      <c r="L1076" s="1">
        <v>146.22999999999999</v>
      </c>
      <c r="M1076" s="1">
        <v>21</v>
      </c>
      <c r="N1076" s="1" t="s">
        <v>26</v>
      </c>
      <c r="O1076" s="1" t="s">
        <v>32</v>
      </c>
    </row>
    <row r="1077" spans="1:15" x14ac:dyDescent="0.25">
      <c r="A1077" s="1">
        <v>100484</v>
      </c>
      <c r="B1077" s="2">
        <v>44932</v>
      </c>
      <c r="C1077" s="1" t="s">
        <v>1115</v>
      </c>
      <c r="D1077" s="1" t="s">
        <v>39</v>
      </c>
      <c r="E1077" s="1" t="s">
        <v>25</v>
      </c>
      <c r="F1077" s="1" t="s">
        <v>1240</v>
      </c>
      <c r="G1077" s="1" t="s">
        <v>18</v>
      </c>
      <c r="H1077" s="1">
        <v>3</v>
      </c>
      <c r="I1077" s="1">
        <v>184.81</v>
      </c>
      <c r="J1077" s="1">
        <v>0</v>
      </c>
      <c r="K1077" s="1">
        <v>554.42999999999995</v>
      </c>
      <c r="L1077" s="1">
        <v>158.08000000000001</v>
      </c>
      <c r="M1077" s="1">
        <v>39</v>
      </c>
      <c r="N1077" s="1" t="s">
        <v>19</v>
      </c>
      <c r="O1077" s="1" t="s">
        <v>43</v>
      </c>
    </row>
    <row r="1078" spans="1:15" x14ac:dyDescent="0.2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x14ac:dyDescent="0.25">
      <c r="A1079" s="1">
        <v>101020</v>
      </c>
      <c r="B1079" s="2">
        <v>45617</v>
      </c>
      <c r="C1079" s="1" t="s">
        <v>1117</v>
      </c>
      <c r="D1079" s="1" t="s">
        <v>56</v>
      </c>
      <c r="E1079" s="1" t="s">
        <v>30</v>
      </c>
      <c r="F1079" s="1" t="s">
        <v>1240</v>
      </c>
      <c r="G1079" s="1" t="s">
        <v>18</v>
      </c>
      <c r="H1079" s="1">
        <v>1</v>
      </c>
      <c r="I1079" s="1">
        <v>47.45</v>
      </c>
      <c r="J1079" s="1">
        <v>0</v>
      </c>
      <c r="K1079" s="1">
        <v>47.45</v>
      </c>
      <c r="L1079" s="1">
        <v>15.2</v>
      </c>
      <c r="M1079" s="1">
        <v>32</v>
      </c>
      <c r="N1079" s="1" t="s">
        <v>26</v>
      </c>
      <c r="O1079" s="1" t="s">
        <v>43</v>
      </c>
    </row>
    <row r="1080" spans="1:15" x14ac:dyDescent="0.2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x14ac:dyDescent="0.2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x14ac:dyDescent="0.2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x14ac:dyDescent="0.2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x14ac:dyDescent="0.25">
      <c r="A1084" s="1">
        <v>101038</v>
      </c>
      <c r="B1084" s="2">
        <v>45410</v>
      </c>
      <c r="C1084" s="1" t="s">
        <v>1122</v>
      </c>
      <c r="D1084" s="1" t="s">
        <v>22</v>
      </c>
      <c r="E1084" s="1" t="s">
        <v>17</v>
      </c>
      <c r="F1084" s="1" t="s">
        <v>1240</v>
      </c>
      <c r="G1084" s="1" t="s">
        <v>18</v>
      </c>
      <c r="H1084" s="1">
        <v>3</v>
      </c>
      <c r="I1084" s="1">
        <v>22.33</v>
      </c>
      <c r="J1084" s="1">
        <v>0</v>
      </c>
      <c r="K1084" s="1">
        <v>66.989999999999995</v>
      </c>
      <c r="L1084" s="1">
        <v>27.34</v>
      </c>
      <c r="M1084" s="1">
        <v>46</v>
      </c>
      <c r="N1084" s="1" t="s">
        <v>19</v>
      </c>
      <c r="O1084" s="1" t="s">
        <v>43</v>
      </c>
    </row>
    <row r="1085" spans="1:15" x14ac:dyDescent="0.2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x14ac:dyDescent="0.2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x14ac:dyDescent="0.2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x14ac:dyDescent="0.25">
      <c r="A1088" s="1">
        <v>100870</v>
      </c>
      <c r="B1088" s="2">
        <v>45733</v>
      </c>
      <c r="C1088" s="1" t="s">
        <v>1125</v>
      </c>
      <c r="D1088" s="1" t="s">
        <v>24</v>
      </c>
      <c r="E1088" s="1" t="s">
        <v>25</v>
      </c>
      <c r="F1088" s="1" t="s">
        <v>1254</v>
      </c>
      <c r="G1088" s="1" t="s">
        <v>48</v>
      </c>
      <c r="H1088" s="1">
        <v>3</v>
      </c>
      <c r="I1088" s="1">
        <v>108.29</v>
      </c>
      <c r="J1088" s="1">
        <v>0</v>
      </c>
      <c r="K1088" s="1">
        <v>324.87</v>
      </c>
      <c r="L1088" s="1">
        <v>91.11</v>
      </c>
      <c r="M1088" s="1">
        <v>17</v>
      </c>
      <c r="N1088" s="1" t="s">
        <v>26</v>
      </c>
      <c r="O1088" s="1" t="s">
        <v>27</v>
      </c>
    </row>
    <row r="1089" spans="1:15" x14ac:dyDescent="0.25">
      <c r="A1089" s="1">
        <v>100397</v>
      </c>
      <c r="B1089" s="2">
        <v>45193</v>
      </c>
      <c r="C1089" s="1" t="s">
        <v>1126</v>
      </c>
      <c r="D1089" s="1" t="s">
        <v>77</v>
      </c>
      <c r="E1089" s="1" t="s">
        <v>30</v>
      </c>
      <c r="F1089" s="1" t="s">
        <v>1254</v>
      </c>
      <c r="G1089" s="1" t="s">
        <v>31</v>
      </c>
      <c r="H1089" s="1">
        <v>1</v>
      </c>
      <c r="I1089" s="1">
        <v>36.369999999999997</v>
      </c>
      <c r="J1089" s="1">
        <v>5</v>
      </c>
      <c r="K1089" s="1">
        <v>34.549999999999997</v>
      </c>
      <c r="L1089" s="1">
        <v>10.85</v>
      </c>
      <c r="M1089" s="1">
        <v>22</v>
      </c>
      <c r="N1089" s="1" t="s">
        <v>19</v>
      </c>
      <c r="O1089" s="1" t="s">
        <v>27</v>
      </c>
    </row>
    <row r="1090" spans="1:15" x14ac:dyDescent="0.2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x14ac:dyDescent="0.25">
      <c r="A1091" s="1">
        <v>101099</v>
      </c>
      <c r="B1091" s="2">
        <v>45885</v>
      </c>
      <c r="C1091" s="1" t="s">
        <v>1128</v>
      </c>
      <c r="D1091" s="1" t="s">
        <v>59</v>
      </c>
      <c r="E1091" s="1" t="s">
        <v>17</v>
      </c>
      <c r="F1091" s="1" t="s">
        <v>1239</v>
      </c>
      <c r="G1091" s="1" t="s">
        <v>18</v>
      </c>
      <c r="H1091" s="1">
        <v>2</v>
      </c>
      <c r="I1091" s="1">
        <v>29.57</v>
      </c>
      <c r="J1091" s="1">
        <v>0</v>
      </c>
      <c r="K1091" s="1">
        <v>59.14</v>
      </c>
      <c r="L1091" s="1">
        <v>16</v>
      </c>
      <c r="M1091" s="1">
        <v>31</v>
      </c>
      <c r="N1091" s="1" t="s">
        <v>26</v>
      </c>
      <c r="O1091" s="1" t="s">
        <v>81</v>
      </c>
    </row>
    <row r="1092" spans="1:15" x14ac:dyDescent="0.2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x14ac:dyDescent="0.2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x14ac:dyDescent="0.2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x14ac:dyDescent="0.25">
      <c r="A1095" s="1">
        <v>100960</v>
      </c>
      <c r="B1095" s="2">
        <v>45650</v>
      </c>
      <c r="C1095" s="1" t="s">
        <v>1132</v>
      </c>
      <c r="D1095" s="1" t="s">
        <v>77</v>
      </c>
      <c r="E1095" s="1" t="s">
        <v>30</v>
      </c>
      <c r="F1095" s="1" t="s">
        <v>1240</v>
      </c>
      <c r="G1095" s="1" t="s">
        <v>48</v>
      </c>
      <c r="H1095" s="1">
        <v>2</v>
      </c>
      <c r="I1095" s="1">
        <v>42.21</v>
      </c>
      <c r="J1095" s="1">
        <v>0</v>
      </c>
      <c r="K1095" s="1">
        <v>84.42</v>
      </c>
      <c r="L1095" s="1">
        <v>23.82</v>
      </c>
      <c r="M1095" s="1">
        <v>27</v>
      </c>
      <c r="N1095" s="1" t="s">
        <v>19</v>
      </c>
      <c r="O1095" s="1" t="s">
        <v>35</v>
      </c>
    </row>
    <row r="1096" spans="1:15" x14ac:dyDescent="0.2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x14ac:dyDescent="0.2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x14ac:dyDescent="0.25">
      <c r="A1098" s="1">
        <v>100098</v>
      </c>
      <c r="B1098" s="2">
        <v>45434</v>
      </c>
      <c r="C1098" s="1" t="s">
        <v>1135</v>
      </c>
      <c r="D1098" s="1" t="s">
        <v>70</v>
      </c>
      <c r="E1098" s="1" t="s">
        <v>25</v>
      </c>
      <c r="F1098" s="1" t="s">
        <v>1239</v>
      </c>
      <c r="G1098" s="1" t="s">
        <v>18</v>
      </c>
      <c r="H1098" s="1">
        <v>2</v>
      </c>
      <c r="I1098" s="1">
        <v>145.66</v>
      </c>
      <c r="J1098" s="1">
        <v>10</v>
      </c>
      <c r="K1098" s="1">
        <v>262.19</v>
      </c>
      <c r="L1098" s="1">
        <v>75.53</v>
      </c>
      <c r="M1098" s="1">
        <v>26</v>
      </c>
      <c r="N1098" s="1" t="s">
        <v>26</v>
      </c>
      <c r="O1098" s="1" t="s">
        <v>46</v>
      </c>
    </row>
    <row r="1099" spans="1:15" x14ac:dyDescent="0.25">
      <c r="A1099" s="1">
        <v>100804</v>
      </c>
      <c r="B1099" s="2">
        <v>45022</v>
      </c>
      <c r="C1099" s="1" t="s">
        <v>1136</v>
      </c>
      <c r="D1099" s="1" t="s">
        <v>70</v>
      </c>
      <c r="E1099" s="1" t="s">
        <v>25</v>
      </c>
      <c r="F1099" s="1" t="s">
        <v>1239</v>
      </c>
      <c r="G1099" s="1" t="s">
        <v>31</v>
      </c>
      <c r="H1099" s="1">
        <v>2</v>
      </c>
      <c r="I1099" s="1">
        <v>144.69</v>
      </c>
      <c r="J1099" s="1">
        <v>0</v>
      </c>
      <c r="K1099" s="1">
        <v>289.38</v>
      </c>
      <c r="L1099" s="1">
        <v>81.88</v>
      </c>
      <c r="M1099" s="1">
        <v>25</v>
      </c>
      <c r="N1099" s="1" t="s">
        <v>19</v>
      </c>
      <c r="O1099" s="1" t="s">
        <v>35</v>
      </c>
    </row>
    <row r="1100" spans="1:15" x14ac:dyDescent="0.25">
      <c r="A1100" s="1">
        <v>100406</v>
      </c>
      <c r="B1100" s="2">
        <v>45156</v>
      </c>
      <c r="C1100" s="1" t="s">
        <v>1137</v>
      </c>
      <c r="D1100" s="1" t="s">
        <v>68</v>
      </c>
      <c r="E1100" s="1" t="s">
        <v>25</v>
      </c>
      <c r="F1100" s="1" t="s">
        <v>1240</v>
      </c>
      <c r="G1100" s="1" t="s">
        <v>31</v>
      </c>
      <c r="H1100" s="1">
        <v>2</v>
      </c>
      <c r="I1100" s="1">
        <v>216.38</v>
      </c>
      <c r="J1100" s="1">
        <v>20</v>
      </c>
      <c r="K1100" s="1">
        <v>346.21</v>
      </c>
      <c r="L1100" s="1">
        <v>92.61</v>
      </c>
      <c r="M1100" s="1">
        <v>32</v>
      </c>
      <c r="N1100" s="1" t="s">
        <v>26</v>
      </c>
      <c r="O1100" s="1" t="s">
        <v>81</v>
      </c>
    </row>
    <row r="1101" spans="1:15" x14ac:dyDescent="0.25">
      <c r="A1101" s="1">
        <v>100502</v>
      </c>
      <c r="B1101" s="2">
        <v>45724</v>
      </c>
      <c r="C1101" s="1" t="s">
        <v>1138</v>
      </c>
      <c r="D1101" s="1" t="s">
        <v>87</v>
      </c>
      <c r="E1101" s="1" t="s">
        <v>25</v>
      </c>
      <c r="F1101" s="1" t="s">
        <v>1240</v>
      </c>
      <c r="G1101" s="1" t="s">
        <v>64</v>
      </c>
      <c r="H1101" s="1">
        <v>5</v>
      </c>
      <c r="I1101" s="1">
        <v>89.56</v>
      </c>
      <c r="J1101" s="1">
        <v>10</v>
      </c>
      <c r="K1101" s="1">
        <v>403.02</v>
      </c>
      <c r="L1101" s="1">
        <v>115.02</v>
      </c>
      <c r="M1101" s="1">
        <v>36</v>
      </c>
      <c r="N1101" s="1" t="s">
        <v>26</v>
      </c>
      <c r="O1101" s="1" t="s">
        <v>81</v>
      </c>
    </row>
    <row r="1102" spans="1:15" x14ac:dyDescent="0.25">
      <c r="A1102" s="1">
        <v>101071</v>
      </c>
      <c r="B1102" s="2">
        <v>45860</v>
      </c>
      <c r="C1102" s="1" t="s">
        <v>1139</v>
      </c>
      <c r="D1102" s="1" t="s">
        <v>59</v>
      </c>
      <c r="E1102" s="1" t="s">
        <v>17</v>
      </c>
      <c r="F1102" s="1" t="s">
        <v>1254</v>
      </c>
      <c r="G1102" s="1" t="s">
        <v>31</v>
      </c>
      <c r="H1102" s="1">
        <v>1</v>
      </c>
      <c r="I1102" s="1">
        <v>30.18</v>
      </c>
      <c r="J1102" s="1">
        <v>5</v>
      </c>
      <c r="K1102" s="1">
        <v>28.67</v>
      </c>
      <c r="L1102" s="1">
        <v>7.28</v>
      </c>
      <c r="M1102" s="1">
        <v>43</v>
      </c>
      <c r="N1102" s="1" t="s">
        <v>26</v>
      </c>
      <c r="O1102" s="1" t="s">
        <v>46</v>
      </c>
    </row>
    <row r="1103" spans="1:15" x14ac:dyDescent="0.2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x14ac:dyDescent="0.2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x14ac:dyDescent="0.2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x14ac:dyDescent="0.2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x14ac:dyDescent="0.2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x14ac:dyDescent="0.25">
      <c r="A1108" s="1">
        <v>101051</v>
      </c>
      <c r="B1108" s="2">
        <v>45151</v>
      </c>
      <c r="C1108" s="1" t="s">
        <v>687</v>
      </c>
      <c r="D1108" s="1" t="s">
        <v>22</v>
      </c>
      <c r="E1108" s="1" t="s">
        <v>17</v>
      </c>
      <c r="F1108" s="1" t="s">
        <v>1239</v>
      </c>
      <c r="G1108" s="1" t="s">
        <v>31</v>
      </c>
      <c r="H1108" s="1">
        <v>3</v>
      </c>
      <c r="I1108" s="1">
        <v>25.19</v>
      </c>
      <c r="J1108" s="1">
        <v>20</v>
      </c>
      <c r="K1108" s="1">
        <v>60.46</v>
      </c>
      <c r="L1108" s="1">
        <v>13.53</v>
      </c>
      <c r="M1108" s="1">
        <v>20</v>
      </c>
      <c r="N1108" s="1" t="s">
        <v>19</v>
      </c>
      <c r="O1108" s="1" t="s">
        <v>27</v>
      </c>
    </row>
    <row r="1109" spans="1:15" x14ac:dyDescent="0.25">
      <c r="A1109" s="1">
        <v>100040</v>
      </c>
      <c r="B1109" s="2">
        <v>45285</v>
      </c>
      <c r="C1109" s="1" t="s">
        <v>1145</v>
      </c>
      <c r="D1109" s="1" t="s">
        <v>16</v>
      </c>
      <c r="E1109" s="1" t="s">
        <v>17</v>
      </c>
      <c r="F1109" s="1" t="s">
        <v>1254</v>
      </c>
      <c r="G1109" s="1" t="s">
        <v>18</v>
      </c>
      <c r="H1109" s="1">
        <v>3</v>
      </c>
      <c r="I1109" s="1">
        <v>54.83</v>
      </c>
      <c r="J1109" s="1">
        <v>0</v>
      </c>
      <c r="K1109" s="1">
        <v>164.49</v>
      </c>
      <c r="L1109" s="1">
        <v>40.78</v>
      </c>
      <c r="M1109" s="1">
        <v>26</v>
      </c>
      <c r="N1109" s="1" t="s">
        <v>19</v>
      </c>
      <c r="O1109" s="1" t="s">
        <v>32</v>
      </c>
    </row>
    <row r="1110" spans="1:15" x14ac:dyDescent="0.2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x14ac:dyDescent="0.2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x14ac:dyDescent="0.2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x14ac:dyDescent="0.2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x14ac:dyDescent="0.2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x14ac:dyDescent="0.25">
      <c r="A1115" s="1">
        <v>100391</v>
      </c>
      <c r="B1115" s="2">
        <v>45210</v>
      </c>
      <c r="C1115" s="1" t="s">
        <v>1151</v>
      </c>
      <c r="D1115" s="1" t="s">
        <v>66</v>
      </c>
      <c r="E1115" s="1" t="s">
        <v>17</v>
      </c>
      <c r="F1115" s="1" t="s">
        <v>1240</v>
      </c>
      <c r="G1115" s="1" t="s">
        <v>31</v>
      </c>
      <c r="H1115" s="1">
        <v>3</v>
      </c>
      <c r="I1115" s="1">
        <v>117.99</v>
      </c>
      <c r="J1115" s="1">
        <v>0</v>
      </c>
      <c r="K1115" s="1">
        <v>353.97</v>
      </c>
      <c r="L1115" s="1">
        <v>89.49</v>
      </c>
      <c r="M1115" s="1">
        <v>41</v>
      </c>
      <c r="N1115" s="1" t="s">
        <v>19</v>
      </c>
      <c r="O1115" s="1" t="s">
        <v>20</v>
      </c>
    </row>
    <row r="1116" spans="1:15" x14ac:dyDescent="0.2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x14ac:dyDescent="0.25">
      <c r="A1117" s="1">
        <v>101086</v>
      </c>
      <c r="B1117" s="2">
        <v>45415</v>
      </c>
      <c r="C1117" s="1" t="s">
        <v>1153</v>
      </c>
      <c r="D1117" s="1" t="s">
        <v>77</v>
      </c>
      <c r="E1117" s="1" t="s">
        <v>30</v>
      </c>
      <c r="F1117" s="1" t="s">
        <v>1240</v>
      </c>
      <c r="G1117" s="1" t="s">
        <v>18</v>
      </c>
      <c r="H1117" s="1">
        <v>5</v>
      </c>
      <c r="I1117" s="1">
        <v>41.63</v>
      </c>
      <c r="J1117" s="1">
        <v>0</v>
      </c>
      <c r="K1117" s="1">
        <v>208.15</v>
      </c>
      <c r="L1117" s="1">
        <v>59.23</v>
      </c>
      <c r="M1117" s="1">
        <v>45</v>
      </c>
      <c r="N1117" s="1" t="s">
        <v>19</v>
      </c>
      <c r="O1117" s="1" t="s">
        <v>27</v>
      </c>
    </row>
    <row r="1118" spans="1:15" x14ac:dyDescent="0.2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x14ac:dyDescent="0.25">
      <c r="A1119" s="1">
        <v>100520</v>
      </c>
      <c r="B1119" s="2">
        <v>45559</v>
      </c>
      <c r="C1119" s="1" t="s">
        <v>1155</v>
      </c>
      <c r="D1119" s="1" t="s">
        <v>68</v>
      </c>
      <c r="E1119" s="1" t="s">
        <v>25</v>
      </c>
      <c r="F1119" s="1" t="s">
        <v>1239</v>
      </c>
      <c r="G1119" s="1" t="s">
        <v>18</v>
      </c>
      <c r="H1119" s="1">
        <v>2</v>
      </c>
      <c r="I1119" s="1">
        <v>209.22</v>
      </c>
      <c r="J1119" s="1">
        <v>10</v>
      </c>
      <c r="K1119" s="1">
        <v>376.6</v>
      </c>
      <c r="L1119" s="1">
        <v>132.79</v>
      </c>
      <c r="M1119" s="1">
        <v>26</v>
      </c>
      <c r="N1119" s="1" t="s">
        <v>26</v>
      </c>
      <c r="O1119" s="1" t="s">
        <v>20</v>
      </c>
    </row>
    <row r="1120" spans="1:15" x14ac:dyDescent="0.2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x14ac:dyDescent="0.2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x14ac:dyDescent="0.25">
      <c r="A1122" s="1">
        <v>101064</v>
      </c>
      <c r="B1122" s="2">
        <v>45841</v>
      </c>
      <c r="C1122" s="1" t="s">
        <v>1158</v>
      </c>
      <c r="D1122" s="1" t="s">
        <v>16</v>
      </c>
      <c r="E1122" s="1" t="s">
        <v>17</v>
      </c>
      <c r="F1122" s="1" t="s">
        <v>1240</v>
      </c>
      <c r="G1122" s="1" t="s">
        <v>48</v>
      </c>
      <c r="H1122" s="1">
        <v>2</v>
      </c>
      <c r="I1122" s="1">
        <v>54.07</v>
      </c>
      <c r="J1122" s="1">
        <v>0</v>
      </c>
      <c r="K1122" s="1">
        <v>108.14</v>
      </c>
      <c r="L1122" s="1">
        <v>39.520000000000003</v>
      </c>
      <c r="M1122" s="1">
        <v>20</v>
      </c>
      <c r="N1122" s="1" t="s">
        <v>26</v>
      </c>
      <c r="O1122" s="1" t="s">
        <v>46</v>
      </c>
    </row>
    <row r="1123" spans="1:15" x14ac:dyDescent="0.2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x14ac:dyDescent="0.25">
      <c r="A1124" s="1">
        <v>100379</v>
      </c>
      <c r="B1124" s="2">
        <v>45690</v>
      </c>
      <c r="C1124" s="1" t="s">
        <v>1160</v>
      </c>
      <c r="D1124" s="1" t="s">
        <v>53</v>
      </c>
      <c r="E1124" s="1" t="s">
        <v>30</v>
      </c>
      <c r="F1124" s="1" t="s">
        <v>1254</v>
      </c>
      <c r="G1124" s="1" t="s">
        <v>18</v>
      </c>
      <c r="H1124" s="1">
        <v>2</v>
      </c>
      <c r="I1124" s="1">
        <v>23.11</v>
      </c>
      <c r="J1124" s="1">
        <v>0</v>
      </c>
      <c r="K1124" s="1">
        <v>46.22</v>
      </c>
      <c r="L1124" s="1">
        <v>15.51</v>
      </c>
      <c r="M1124" s="1">
        <v>30</v>
      </c>
      <c r="N1124" s="1" t="s">
        <v>19</v>
      </c>
      <c r="O1124" s="1" t="s">
        <v>20</v>
      </c>
    </row>
    <row r="1125" spans="1:15" x14ac:dyDescent="0.25">
      <c r="A1125" s="1">
        <v>100187</v>
      </c>
      <c r="B1125" s="2">
        <v>45490</v>
      </c>
      <c r="C1125" s="1" t="s">
        <v>1161</v>
      </c>
      <c r="D1125" s="1" t="s">
        <v>45</v>
      </c>
      <c r="E1125" s="1" t="s">
        <v>30</v>
      </c>
      <c r="F1125" s="1" t="s">
        <v>1240</v>
      </c>
      <c r="G1125" s="1" t="s">
        <v>18</v>
      </c>
      <c r="H1125" s="1">
        <v>3</v>
      </c>
      <c r="I1125" s="1">
        <v>14.94</v>
      </c>
      <c r="J1125" s="1">
        <v>5</v>
      </c>
      <c r="K1125" s="1">
        <v>42.58</v>
      </c>
      <c r="L1125" s="1">
        <v>21.21</v>
      </c>
      <c r="M1125" s="1">
        <v>29</v>
      </c>
      <c r="N1125" s="1" t="s">
        <v>19</v>
      </c>
      <c r="O1125" s="1" t="s">
        <v>35</v>
      </c>
    </row>
    <row r="1126" spans="1:15" x14ac:dyDescent="0.25">
      <c r="A1126" s="1">
        <v>100763</v>
      </c>
      <c r="B1126" s="2">
        <v>45359</v>
      </c>
      <c r="C1126" s="1" t="s">
        <v>1162</v>
      </c>
      <c r="D1126" s="1" t="s">
        <v>70</v>
      </c>
      <c r="E1126" s="1" t="s">
        <v>25</v>
      </c>
      <c r="F1126" s="1" t="s">
        <v>1240</v>
      </c>
      <c r="G1126" s="1" t="s">
        <v>18</v>
      </c>
      <c r="H1126" s="1">
        <v>1</v>
      </c>
      <c r="I1126" s="1">
        <v>150.6</v>
      </c>
      <c r="J1126" s="1">
        <v>20</v>
      </c>
      <c r="K1126" s="1">
        <v>120.48</v>
      </c>
      <c r="L1126" s="1">
        <v>44.04</v>
      </c>
      <c r="M1126" s="1">
        <v>28</v>
      </c>
      <c r="N1126" s="1" t="s">
        <v>19</v>
      </c>
      <c r="O1126" s="1" t="s">
        <v>20</v>
      </c>
    </row>
    <row r="1127" spans="1:15" x14ac:dyDescent="0.2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x14ac:dyDescent="0.2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x14ac:dyDescent="0.25">
      <c r="A1129" s="1">
        <v>101076</v>
      </c>
      <c r="B1129" s="2">
        <v>45220</v>
      </c>
      <c r="C1129" s="1" t="s">
        <v>1165</v>
      </c>
      <c r="D1129" s="1" t="s">
        <v>87</v>
      </c>
      <c r="E1129" s="1" t="s">
        <v>25</v>
      </c>
      <c r="F1129" s="1" t="s">
        <v>1254</v>
      </c>
      <c r="G1129" s="1" t="s">
        <v>18</v>
      </c>
      <c r="H1129" s="1">
        <v>4</v>
      </c>
      <c r="I1129" s="1">
        <v>85.14</v>
      </c>
      <c r="J1129" s="1">
        <v>20</v>
      </c>
      <c r="K1129" s="1">
        <v>272.45</v>
      </c>
      <c r="L1129" s="1">
        <v>61.77</v>
      </c>
      <c r="M1129" s="1">
        <v>26</v>
      </c>
      <c r="N1129" s="1" t="s">
        <v>19</v>
      </c>
      <c r="O1129" s="1" t="s">
        <v>35</v>
      </c>
    </row>
    <row r="1130" spans="1:15" x14ac:dyDescent="0.2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x14ac:dyDescent="0.25">
      <c r="A1131" s="1">
        <v>100337</v>
      </c>
      <c r="B1131" s="2">
        <v>45205</v>
      </c>
      <c r="C1131" s="1" t="s">
        <v>1167</v>
      </c>
      <c r="D1131" s="1" t="s">
        <v>37</v>
      </c>
      <c r="E1131" s="1" t="s">
        <v>17</v>
      </c>
      <c r="F1131" s="1" t="s">
        <v>1240</v>
      </c>
      <c r="G1131" s="1" t="s">
        <v>31</v>
      </c>
      <c r="H1131" s="1">
        <v>4</v>
      </c>
      <c r="I1131" s="1">
        <v>66.12</v>
      </c>
      <c r="J1131" s="1">
        <v>10</v>
      </c>
      <c r="K1131" s="1">
        <v>238.03</v>
      </c>
      <c r="L1131" s="1">
        <v>45.16</v>
      </c>
      <c r="M1131" s="1">
        <v>36</v>
      </c>
      <c r="N1131" s="1" t="s">
        <v>19</v>
      </c>
      <c r="O1131" s="1" t="s">
        <v>35</v>
      </c>
    </row>
    <row r="1132" spans="1:15" x14ac:dyDescent="0.25">
      <c r="A1132" s="1">
        <v>100719</v>
      </c>
      <c r="B1132" s="2">
        <v>45156</v>
      </c>
      <c r="C1132" s="1" t="s">
        <v>1168</v>
      </c>
      <c r="D1132" s="1" t="s">
        <v>39</v>
      </c>
      <c r="E1132" s="1" t="s">
        <v>25</v>
      </c>
      <c r="F1132" s="1" t="s">
        <v>1240</v>
      </c>
      <c r="G1132" s="1" t="s">
        <v>18</v>
      </c>
      <c r="H1132" s="1">
        <v>3</v>
      </c>
      <c r="I1132" s="1">
        <v>159.36000000000001</v>
      </c>
      <c r="J1132" s="1">
        <v>0</v>
      </c>
      <c r="K1132" s="1">
        <v>478.08</v>
      </c>
      <c r="L1132" s="1">
        <v>135.58000000000001</v>
      </c>
      <c r="M1132" s="1">
        <v>36</v>
      </c>
      <c r="N1132" s="1" t="s">
        <v>19</v>
      </c>
      <c r="O1132" s="1" t="s">
        <v>46</v>
      </c>
    </row>
    <row r="1133" spans="1:15" x14ac:dyDescent="0.2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x14ac:dyDescent="0.2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x14ac:dyDescent="0.2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x14ac:dyDescent="0.25">
      <c r="A1136" s="1">
        <v>100815</v>
      </c>
      <c r="B1136" s="2">
        <v>44947</v>
      </c>
      <c r="C1136" s="1" t="s">
        <v>1172</v>
      </c>
      <c r="D1136" s="1" t="s">
        <v>29</v>
      </c>
      <c r="E1136" s="1" t="s">
        <v>30</v>
      </c>
      <c r="F1136" s="1" t="s">
        <v>1240</v>
      </c>
      <c r="G1136" s="1" t="s">
        <v>31</v>
      </c>
      <c r="H1136" s="1">
        <v>4</v>
      </c>
      <c r="I1136" s="1">
        <v>17.84</v>
      </c>
      <c r="J1136" s="1">
        <v>0</v>
      </c>
      <c r="K1136" s="1">
        <v>71.36</v>
      </c>
      <c r="L1136" s="1">
        <v>26.79</v>
      </c>
      <c r="M1136" s="1">
        <v>34</v>
      </c>
      <c r="N1136" s="1" t="s">
        <v>19</v>
      </c>
      <c r="O1136" s="1" t="s">
        <v>81</v>
      </c>
    </row>
    <row r="1137" spans="1:15" x14ac:dyDescent="0.2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x14ac:dyDescent="0.2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x14ac:dyDescent="0.25">
      <c r="A1139" s="1">
        <v>100201</v>
      </c>
      <c r="B1139" s="2">
        <v>45215</v>
      </c>
      <c r="C1139" s="1" t="s">
        <v>1175</v>
      </c>
      <c r="D1139" s="1" t="s">
        <v>53</v>
      </c>
      <c r="E1139" s="1" t="s">
        <v>30</v>
      </c>
      <c r="F1139" s="1" t="s">
        <v>1254</v>
      </c>
      <c r="G1139" s="1" t="s">
        <v>31</v>
      </c>
      <c r="H1139" s="1">
        <v>3</v>
      </c>
      <c r="I1139" s="1">
        <v>21.35</v>
      </c>
      <c r="J1139" s="1">
        <v>0</v>
      </c>
      <c r="K1139" s="1">
        <v>64.05</v>
      </c>
      <c r="L1139" s="1">
        <v>15.96</v>
      </c>
      <c r="M1139" s="1">
        <v>32</v>
      </c>
      <c r="N1139" s="1" t="s">
        <v>26</v>
      </c>
      <c r="O1139" s="1" t="s">
        <v>81</v>
      </c>
    </row>
    <row r="1140" spans="1:15" x14ac:dyDescent="0.25">
      <c r="A1140" s="1">
        <v>100161</v>
      </c>
      <c r="B1140" s="2">
        <v>45243</v>
      </c>
      <c r="C1140" s="1" t="s">
        <v>1176</v>
      </c>
      <c r="D1140" s="1" t="s">
        <v>53</v>
      </c>
      <c r="E1140" s="1" t="s">
        <v>30</v>
      </c>
      <c r="F1140" s="1" t="s">
        <v>1240</v>
      </c>
      <c r="G1140" s="1" t="s">
        <v>31</v>
      </c>
      <c r="H1140" s="1">
        <v>3</v>
      </c>
      <c r="I1140" s="1">
        <v>19.93</v>
      </c>
      <c r="J1140" s="1">
        <v>0</v>
      </c>
      <c r="K1140" s="1">
        <v>59.79</v>
      </c>
      <c r="L1140" s="1">
        <v>17.420000000000002</v>
      </c>
      <c r="M1140" s="1">
        <v>35</v>
      </c>
      <c r="N1140" s="1" t="s">
        <v>19</v>
      </c>
      <c r="O1140" s="1" t="s">
        <v>46</v>
      </c>
    </row>
    <row r="1141" spans="1:15" x14ac:dyDescent="0.25">
      <c r="A1141" s="1">
        <v>100729</v>
      </c>
      <c r="B1141" s="2">
        <v>45154</v>
      </c>
      <c r="C1141" s="1" t="s">
        <v>1177</v>
      </c>
      <c r="D1141" s="1" t="s">
        <v>68</v>
      </c>
      <c r="E1141" s="1" t="s">
        <v>25</v>
      </c>
      <c r="F1141" s="1" t="s">
        <v>1240</v>
      </c>
      <c r="G1141" s="1" t="s">
        <v>18</v>
      </c>
      <c r="H1141" s="1">
        <v>2</v>
      </c>
      <c r="I1141" s="1">
        <v>226.68</v>
      </c>
      <c r="J1141" s="1">
        <v>0</v>
      </c>
      <c r="K1141" s="1">
        <v>453.36</v>
      </c>
      <c r="L1141" s="1">
        <v>173.84</v>
      </c>
      <c r="M1141" s="1">
        <v>22</v>
      </c>
      <c r="N1141" s="1" t="s">
        <v>26</v>
      </c>
      <c r="O1141" s="1" t="s">
        <v>35</v>
      </c>
    </row>
    <row r="1142" spans="1:15" x14ac:dyDescent="0.2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x14ac:dyDescent="0.2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x14ac:dyDescent="0.25">
      <c r="A1144" s="1">
        <v>101129</v>
      </c>
      <c r="B1144" s="2">
        <v>45871</v>
      </c>
      <c r="C1144" s="1" t="s">
        <v>1180</v>
      </c>
      <c r="D1144" s="1" t="s">
        <v>73</v>
      </c>
      <c r="E1144" s="1" t="s">
        <v>25</v>
      </c>
      <c r="F1144" s="1" t="s">
        <v>1240</v>
      </c>
      <c r="G1144" s="1" t="s">
        <v>48</v>
      </c>
      <c r="H1144" s="1">
        <v>3</v>
      </c>
      <c r="I1144" s="1">
        <v>33.840000000000003</v>
      </c>
      <c r="J1144" s="1">
        <v>40</v>
      </c>
      <c r="K1144" s="1">
        <v>60.91</v>
      </c>
      <c r="L1144" s="1">
        <v>19.8</v>
      </c>
      <c r="M1144" s="1">
        <v>22</v>
      </c>
      <c r="N1144" s="1" t="s">
        <v>19</v>
      </c>
      <c r="O1144" s="1" t="s">
        <v>32</v>
      </c>
    </row>
    <row r="1145" spans="1:15" x14ac:dyDescent="0.2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x14ac:dyDescent="0.25">
      <c r="A1146" s="1">
        <v>101021</v>
      </c>
      <c r="B1146" s="2">
        <v>45434</v>
      </c>
      <c r="C1146" s="1" t="s">
        <v>1182</v>
      </c>
      <c r="D1146" s="1" t="s">
        <v>62</v>
      </c>
      <c r="E1146" s="1" t="s">
        <v>17</v>
      </c>
      <c r="F1146" s="1" t="s">
        <v>1239</v>
      </c>
      <c r="G1146" s="1" t="s">
        <v>18</v>
      </c>
      <c r="H1146" s="1">
        <v>2</v>
      </c>
      <c r="I1146" s="1">
        <v>124.24</v>
      </c>
      <c r="J1146" s="1">
        <v>20</v>
      </c>
      <c r="K1146" s="1">
        <v>198.78</v>
      </c>
      <c r="L1146" s="1">
        <v>75.989999999999995</v>
      </c>
      <c r="M1146" s="1">
        <v>21</v>
      </c>
      <c r="N1146" s="1" t="s">
        <v>19</v>
      </c>
      <c r="O1146" s="1" t="s">
        <v>27</v>
      </c>
    </row>
    <row r="1147" spans="1:15" x14ac:dyDescent="0.25">
      <c r="A1147" s="1">
        <v>101025</v>
      </c>
      <c r="B1147" s="2">
        <v>45129</v>
      </c>
      <c r="C1147" s="1" t="s">
        <v>1183</v>
      </c>
      <c r="D1147" s="1" t="s">
        <v>24</v>
      </c>
      <c r="E1147" s="1" t="s">
        <v>25</v>
      </c>
      <c r="F1147" s="1" t="s">
        <v>1254</v>
      </c>
      <c r="G1147" s="1" t="s">
        <v>18</v>
      </c>
      <c r="H1147" s="1">
        <v>2</v>
      </c>
      <c r="I1147" s="1">
        <v>97.9</v>
      </c>
      <c r="J1147" s="1">
        <v>0</v>
      </c>
      <c r="K1147" s="1">
        <v>195.8</v>
      </c>
      <c r="L1147" s="1">
        <v>57.08</v>
      </c>
      <c r="M1147" s="1">
        <v>43</v>
      </c>
      <c r="N1147" s="1" t="s">
        <v>19</v>
      </c>
      <c r="O1147" s="1" t="s">
        <v>81</v>
      </c>
    </row>
    <row r="1148" spans="1:15" x14ac:dyDescent="0.25">
      <c r="A1148" s="1">
        <v>101104</v>
      </c>
      <c r="B1148" s="2">
        <v>44941</v>
      </c>
      <c r="C1148" s="1" t="s">
        <v>1184</v>
      </c>
      <c r="D1148" s="1" t="s">
        <v>68</v>
      </c>
      <c r="E1148" s="1" t="s">
        <v>25</v>
      </c>
      <c r="F1148" s="1" t="s">
        <v>1239</v>
      </c>
      <c r="G1148" s="1" t="s">
        <v>31</v>
      </c>
      <c r="H1148" s="1">
        <v>3</v>
      </c>
      <c r="I1148" s="1">
        <v>217.49</v>
      </c>
      <c r="J1148" s="1">
        <v>0</v>
      </c>
      <c r="K1148" s="1">
        <v>652.47</v>
      </c>
      <c r="L1148" s="1">
        <v>140.63999999999999</v>
      </c>
      <c r="M1148" s="1">
        <v>18</v>
      </c>
      <c r="N1148" s="1" t="s">
        <v>26</v>
      </c>
      <c r="O1148" s="1" t="s">
        <v>32</v>
      </c>
    </row>
    <row r="1149" spans="1:15" x14ac:dyDescent="0.25">
      <c r="A1149" s="1">
        <v>100205</v>
      </c>
      <c r="B1149" s="2">
        <v>45439</v>
      </c>
      <c r="C1149" s="1" t="s">
        <v>1185</v>
      </c>
      <c r="D1149" s="1" t="s">
        <v>70</v>
      </c>
      <c r="E1149" s="1" t="s">
        <v>25</v>
      </c>
      <c r="F1149" s="1" t="s">
        <v>1240</v>
      </c>
      <c r="G1149" s="1" t="s">
        <v>18</v>
      </c>
      <c r="H1149" s="1">
        <v>1</v>
      </c>
      <c r="I1149" s="1">
        <v>145.81</v>
      </c>
      <c r="J1149" s="1">
        <v>10</v>
      </c>
      <c r="K1149" s="1">
        <v>131.22999999999999</v>
      </c>
      <c r="L1149" s="1">
        <v>44.93</v>
      </c>
      <c r="M1149" s="1">
        <v>39</v>
      </c>
      <c r="N1149" s="1" t="s">
        <v>26</v>
      </c>
      <c r="O1149" s="1" t="s">
        <v>46</v>
      </c>
    </row>
    <row r="1150" spans="1:15" x14ac:dyDescent="0.25">
      <c r="A1150" s="1">
        <v>100034</v>
      </c>
      <c r="B1150" s="2">
        <v>45135</v>
      </c>
      <c r="C1150" s="1" t="s">
        <v>1186</v>
      </c>
      <c r="D1150" s="1" t="s">
        <v>22</v>
      </c>
      <c r="E1150" s="1" t="s">
        <v>17</v>
      </c>
      <c r="F1150" s="1" t="s">
        <v>1240</v>
      </c>
      <c r="G1150" s="1" t="s">
        <v>48</v>
      </c>
      <c r="H1150" s="1">
        <v>1</v>
      </c>
      <c r="I1150" s="1">
        <v>24.55</v>
      </c>
      <c r="J1150" s="1">
        <v>0</v>
      </c>
      <c r="K1150" s="1">
        <v>24.55</v>
      </c>
      <c r="L1150" s="1">
        <v>7.93</v>
      </c>
      <c r="M1150" s="1">
        <v>29</v>
      </c>
      <c r="N1150" s="1" t="s">
        <v>26</v>
      </c>
      <c r="O1150" s="1" t="s">
        <v>32</v>
      </c>
    </row>
    <row r="1151" spans="1:15" x14ac:dyDescent="0.2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x14ac:dyDescent="0.25">
      <c r="A1152" s="1">
        <v>100508</v>
      </c>
      <c r="B1152" s="2">
        <v>45300</v>
      </c>
      <c r="C1152" s="1" t="s">
        <v>1188</v>
      </c>
      <c r="D1152" s="1" t="s">
        <v>62</v>
      </c>
      <c r="E1152" s="1" t="s">
        <v>17</v>
      </c>
      <c r="F1152" s="1" t="s">
        <v>1240</v>
      </c>
      <c r="G1152" s="1" t="s">
        <v>18</v>
      </c>
      <c r="H1152" s="1">
        <v>7</v>
      </c>
      <c r="I1152" s="1">
        <v>123.53</v>
      </c>
      <c r="J1152" s="1">
        <v>40</v>
      </c>
      <c r="K1152" s="1">
        <v>518.83000000000004</v>
      </c>
      <c r="L1152" s="1">
        <v>149.66999999999999</v>
      </c>
      <c r="M1152" s="1">
        <v>45</v>
      </c>
      <c r="N1152" s="1" t="s">
        <v>19</v>
      </c>
      <c r="O1152" s="1" t="s">
        <v>51</v>
      </c>
    </row>
    <row r="1153" spans="1:15" x14ac:dyDescent="0.25">
      <c r="A1153" s="1">
        <v>101183</v>
      </c>
      <c r="B1153" s="2">
        <v>44995</v>
      </c>
      <c r="C1153" s="1" t="s">
        <v>1189</v>
      </c>
      <c r="D1153" s="1" t="s">
        <v>39</v>
      </c>
      <c r="E1153" s="1" t="s">
        <v>25</v>
      </c>
      <c r="F1153" s="1" t="s">
        <v>1254</v>
      </c>
      <c r="G1153" s="1" t="s">
        <v>31</v>
      </c>
      <c r="H1153" s="1">
        <v>1</v>
      </c>
      <c r="I1153" s="1">
        <v>196.24</v>
      </c>
      <c r="J1153" s="1">
        <v>20</v>
      </c>
      <c r="K1153" s="1">
        <v>156.99</v>
      </c>
      <c r="L1153" s="1">
        <v>48.09</v>
      </c>
      <c r="M1153" s="1">
        <v>36</v>
      </c>
      <c r="N1153" s="1" t="s">
        <v>26</v>
      </c>
      <c r="O1153" s="1" t="s">
        <v>27</v>
      </c>
    </row>
    <row r="1154" spans="1:15" x14ac:dyDescent="0.2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x14ac:dyDescent="0.2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x14ac:dyDescent="0.2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x14ac:dyDescent="0.25">
      <c r="A1157" s="1">
        <v>100776</v>
      </c>
      <c r="B1157" s="2">
        <v>45707</v>
      </c>
      <c r="C1157" s="1" t="s">
        <v>1193</v>
      </c>
      <c r="D1157" s="1" t="s">
        <v>70</v>
      </c>
      <c r="E1157" s="1" t="s">
        <v>25</v>
      </c>
      <c r="F1157" s="1" t="s">
        <v>1240</v>
      </c>
      <c r="G1157" s="1" t="s">
        <v>18</v>
      </c>
      <c r="H1157" s="1">
        <v>3</v>
      </c>
      <c r="I1157" s="1">
        <v>151.03</v>
      </c>
      <c r="J1157" s="1">
        <v>0</v>
      </c>
      <c r="K1157" s="1">
        <v>453.09</v>
      </c>
      <c r="L1157" s="1">
        <v>119.01</v>
      </c>
      <c r="M1157" s="1">
        <v>31</v>
      </c>
      <c r="N1157" s="1" t="s">
        <v>19</v>
      </c>
      <c r="O1157" s="1" t="s">
        <v>81</v>
      </c>
    </row>
    <row r="1158" spans="1:15" x14ac:dyDescent="0.2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x14ac:dyDescent="0.25">
      <c r="A1159" s="1">
        <v>100013</v>
      </c>
      <c r="B1159" s="2">
        <v>45446</v>
      </c>
      <c r="C1159" s="1" t="s">
        <v>153</v>
      </c>
      <c r="D1159" s="1" t="s">
        <v>87</v>
      </c>
      <c r="E1159" s="1" t="s">
        <v>25</v>
      </c>
      <c r="F1159" s="1" t="s">
        <v>1240</v>
      </c>
      <c r="G1159" s="1" t="s">
        <v>31</v>
      </c>
      <c r="H1159" s="1">
        <v>5</v>
      </c>
      <c r="I1159" s="1">
        <v>76.87</v>
      </c>
      <c r="J1159" s="1">
        <v>0</v>
      </c>
      <c r="K1159" s="1">
        <v>384.35</v>
      </c>
      <c r="L1159" s="1">
        <v>134</v>
      </c>
      <c r="M1159" s="1">
        <v>36</v>
      </c>
      <c r="N1159" s="1" t="s">
        <v>19</v>
      </c>
      <c r="O1159" s="1" t="s">
        <v>35</v>
      </c>
    </row>
    <row r="1160" spans="1:15" x14ac:dyDescent="0.2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x14ac:dyDescent="0.2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x14ac:dyDescent="0.2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x14ac:dyDescent="0.25">
      <c r="A1163" s="1">
        <v>100166</v>
      </c>
      <c r="B1163" s="2">
        <v>44955</v>
      </c>
      <c r="C1163" s="1" t="s">
        <v>1198</v>
      </c>
      <c r="D1163" s="1" t="s">
        <v>66</v>
      </c>
      <c r="E1163" s="1" t="s">
        <v>17</v>
      </c>
      <c r="F1163" s="1" t="s">
        <v>1254</v>
      </c>
      <c r="G1163" s="1" t="s">
        <v>31</v>
      </c>
      <c r="H1163" s="1">
        <v>4</v>
      </c>
      <c r="I1163" s="1">
        <v>119.84</v>
      </c>
      <c r="J1163" s="1">
        <v>0</v>
      </c>
      <c r="K1163" s="1">
        <v>479.36</v>
      </c>
      <c r="L1163" s="1">
        <v>168.4</v>
      </c>
      <c r="M1163" s="1">
        <v>35</v>
      </c>
      <c r="N1163" s="1" t="s">
        <v>19</v>
      </c>
      <c r="O1163" s="1" t="s">
        <v>35</v>
      </c>
    </row>
    <row r="1164" spans="1:15" x14ac:dyDescent="0.2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x14ac:dyDescent="0.25">
      <c r="A1165" s="1">
        <v>100020</v>
      </c>
      <c r="B1165" s="2">
        <v>45667</v>
      </c>
      <c r="C1165" s="1" t="s">
        <v>1200</v>
      </c>
      <c r="D1165" s="1" t="s">
        <v>77</v>
      </c>
      <c r="E1165" s="1" t="s">
        <v>30</v>
      </c>
      <c r="F1165" s="1" t="s">
        <v>1240</v>
      </c>
      <c r="G1165" s="1" t="s">
        <v>31</v>
      </c>
      <c r="H1165" s="1">
        <v>5</v>
      </c>
      <c r="I1165" s="1">
        <v>40.69</v>
      </c>
      <c r="J1165" s="1">
        <v>0</v>
      </c>
      <c r="K1165" s="1">
        <v>203.45</v>
      </c>
      <c r="L1165" s="1">
        <v>38.340000000000003</v>
      </c>
      <c r="M1165" s="1">
        <v>16</v>
      </c>
      <c r="N1165" s="1" t="s">
        <v>26</v>
      </c>
      <c r="O1165" s="1" t="s">
        <v>27</v>
      </c>
    </row>
    <row r="1166" spans="1:15" x14ac:dyDescent="0.25">
      <c r="A1166" s="1">
        <v>100646</v>
      </c>
      <c r="B1166" s="2">
        <v>44941</v>
      </c>
      <c r="C1166" s="1" t="s">
        <v>1201</v>
      </c>
      <c r="D1166" s="1" t="s">
        <v>87</v>
      </c>
      <c r="E1166" s="1" t="s">
        <v>25</v>
      </c>
      <c r="F1166" s="1" t="s">
        <v>1254</v>
      </c>
      <c r="G1166" s="1" t="s">
        <v>31</v>
      </c>
      <c r="H1166" s="1">
        <v>4</v>
      </c>
      <c r="I1166" s="1">
        <v>86.95</v>
      </c>
      <c r="J1166" s="1">
        <v>0</v>
      </c>
      <c r="K1166" s="1">
        <v>347.8</v>
      </c>
      <c r="L1166" s="1">
        <v>60.89</v>
      </c>
      <c r="M1166" s="1">
        <v>24</v>
      </c>
      <c r="N1166" s="1" t="s">
        <v>19</v>
      </c>
      <c r="O1166" s="1" t="s">
        <v>43</v>
      </c>
    </row>
    <row r="1167" spans="1:15" x14ac:dyDescent="0.25">
      <c r="A1167" s="1">
        <v>101154</v>
      </c>
      <c r="B1167" s="2">
        <v>45120</v>
      </c>
      <c r="C1167" s="1" t="s">
        <v>1202</v>
      </c>
      <c r="D1167" s="1" t="s">
        <v>62</v>
      </c>
      <c r="E1167" s="1" t="s">
        <v>17</v>
      </c>
      <c r="F1167" s="1" t="s">
        <v>1240</v>
      </c>
      <c r="G1167" s="1" t="s">
        <v>31</v>
      </c>
      <c r="H1167" s="1">
        <v>3</v>
      </c>
      <c r="I1167" s="1">
        <v>143.54</v>
      </c>
      <c r="J1167" s="1">
        <v>20</v>
      </c>
      <c r="K1167" s="1">
        <v>344.5</v>
      </c>
      <c r="L1167" s="1">
        <v>84.76</v>
      </c>
      <c r="M1167" s="1">
        <v>28</v>
      </c>
      <c r="N1167" s="1" t="s">
        <v>26</v>
      </c>
      <c r="O1167" s="1" t="s">
        <v>27</v>
      </c>
    </row>
    <row r="1168" spans="1:15" x14ac:dyDescent="0.2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x14ac:dyDescent="0.2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x14ac:dyDescent="0.25">
      <c r="A1170" s="1">
        <v>101170</v>
      </c>
      <c r="B1170" s="2">
        <v>45425</v>
      </c>
      <c r="C1170" s="1" t="s">
        <v>1205</v>
      </c>
      <c r="D1170" s="1" t="s">
        <v>16</v>
      </c>
      <c r="E1170" s="1" t="s">
        <v>17</v>
      </c>
      <c r="F1170" s="1" t="s">
        <v>1240</v>
      </c>
      <c r="G1170" s="1" t="s">
        <v>31</v>
      </c>
      <c r="H1170" s="1">
        <v>2</v>
      </c>
      <c r="I1170" s="1">
        <v>62.77</v>
      </c>
      <c r="J1170" s="1">
        <v>10</v>
      </c>
      <c r="K1170" s="1">
        <v>112.99</v>
      </c>
      <c r="L1170" s="1">
        <v>24.42</v>
      </c>
      <c r="M1170" s="1">
        <v>35</v>
      </c>
      <c r="N1170" s="1" t="s">
        <v>26</v>
      </c>
      <c r="O1170" s="1" t="s">
        <v>27</v>
      </c>
    </row>
    <row r="1171" spans="1:15" x14ac:dyDescent="0.2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x14ac:dyDescent="0.2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x14ac:dyDescent="0.2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x14ac:dyDescent="0.25">
      <c r="A1174" s="1">
        <v>100975</v>
      </c>
      <c r="B1174" s="2">
        <v>45548</v>
      </c>
      <c r="C1174" s="1" t="s">
        <v>1209</v>
      </c>
      <c r="D1174" s="1" t="s">
        <v>73</v>
      </c>
      <c r="E1174" s="1" t="s">
        <v>25</v>
      </c>
      <c r="F1174" s="1" t="s">
        <v>1254</v>
      </c>
      <c r="G1174" s="1" t="s">
        <v>48</v>
      </c>
      <c r="H1174" s="1">
        <v>4</v>
      </c>
      <c r="I1174" s="1">
        <v>37.32</v>
      </c>
      <c r="J1174" s="1">
        <v>0</v>
      </c>
      <c r="K1174" s="1">
        <v>149.28</v>
      </c>
      <c r="L1174" s="1">
        <v>45.58</v>
      </c>
      <c r="M1174" s="1">
        <v>21</v>
      </c>
      <c r="N1174" s="1" t="s">
        <v>19</v>
      </c>
      <c r="O1174" s="1" t="s">
        <v>81</v>
      </c>
    </row>
    <row r="1175" spans="1:15" x14ac:dyDescent="0.2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x14ac:dyDescent="0.25">
      <c r="A1176" s="1">
        <v>100510</v>
      </c>
      <c r="B1176" s="2">
        <v>45107</v>
      </c>
      <c r="C1176" s="1" t="s">
        <v>1211</v>
      </c>
      <c r="D1176" s="1" t="s">
        <v>34</v>
      </c>
      <c r="E1176" s="1" t="s">
        <v>30</v>
      </c>
      <c r="F1176" s="1" t="s">
        <v>1239</v>
      </c>
      <c r="G1176" s="1" t="s">
        <v>48</v>
      </c>
      <c r="H1176" s="1">
        <v>2</v>
      </c>
      <c r="I1176" s="1">
        <v>64.86</v>
      </c>
      <c r="J1176" s="1">
        <v>5</v>
      </c>
      <c r="K1176" s="1">
        <v>123.23</v>
      </c>
      <c r="L1176" s="1">
        <v>52.24</v>
      </c>
      <c r="M1176" s="1">
        <v>39</v>
      </c>
      <c r="N1176" s="1" t="s">
        <v>26</v>
      </c>
      <c r="O1176" s="1" t="s">
        <v>43</v>
      </c>
    </row>
    <row r="1177" spans="1:15" x14ac:dyDescent="0.2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x14ac:dyDescent="0.2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x14ac:dyDescent="0.25">
      <c r="A1179" s="1">
        <v>100856</v>
      </c>
      <c r="B1179" s="2">
        <v>45338</v>
      </c>
      <c r="C1179" s="1" t="s">
        <v>1214</v>
      </c>
      <c r="D1179" s="1" t="s">
        <v>77</v>
      </c>
      <c r="E1179" s="1" t="s">
        <v>30</v>
      </c>
      <c r="F1179" s="1" t="s">
        <v>1254</v>
      </c>
      <c r="G1179" s="1" t="s">
        <v>18</v>
      </c>
      <c r="H1179" s="1">
        <v>6</v>
      </c>
      <c r="I1179" s="1">
        <v>37.799999999999997</v>
      </c>
      <c r="J1179" s="1">
        <v>10</v>
      </c>
      <c r="K1179" s="1">
        <v>204.12</v>
      </c>
      <c r="L1179" s="1">
        <v>55.31</v>
      </c>
      <c r="M1179" s="1">
        <v>25</v>
      </c>
      <c r="N1179" s="1" t="s">
        <v>26</v>
      </c>
      <c r="O1179" s="1" t="s">
        <v>32</v>
      </c>
    </row>
    <row r="1180" spans="1:15" x14ac:dyDescent="0.2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x14ac:dyDescent="0.2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x14ac:dyDescent="0.25">
      <c r="A1182" s="1">
        <v>100021</v>
      </c>
      <c r="B1182" s="2">
        <v>45289</v>
      </c>
      <c r="C1182" s="1" t="s">
        <v>1217</v>
      </c>
      <c r="D1182" s="1" t="s">
        <v>34</v>
      </c>
      <c r="E1182" s="1" t="s">
        <v>30</v>
      </c>
      <c r="F1182" s="1" t="s">
        <v>1254</v>
      </c>
      <c r="G1182" s="1" t="s">
        <v>18</v>
      </c>
      <c r="H1182" s="1">
        <v>2</v>
      </c>
      <c r="I1182" s="1">
        <v>59.87</v>
      </c>
      <c r="J1182" s="1">
        <v>5</v>
      </c>
      <c r="K1182" s="1">
        <v>113.75</v>
      </c>
      <c r="L1182" s="1">
        <v>38.020000000000003</v>
      </c>
      <c r="M1182" s="1">
        <v>49</v>
      </c>
      <c r="N1182" s="1" t="s">
        <v>19</v>
      </c>
      <c r="O1182" s="1" t="s">
        <v>27</v>
      </c>
    </row>
    <row r="1183" spans="1:15" x14ac:dyDescent="0.2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x14ac:dyDescent="0.25">
      <c r="A1184" s="1">
        <v>100276</v>
      </c>
      <c r="B1184" s="2">
        <v>45214</v>
      </c>
      <c r="C1184" s="1" t="s">
        <v>1219</v>
      </c>
      <c r="D1184" s="1" t="s">
        <v>62</v>
      </c>
      <c r="E1184" s="1" t="s">
        <v>17</v>
      </c>
      <c r="F1184" s="1" t="s">
        <v>1239</v>
      </c>
      <c r="G1184" s="1" t="s">
        <v>18</v>
      </c>
      <c r="H1184" s="1">
        <v>2</v>
      </c>
      <c r="I1184" s="1">
        <v>143.68</v>
      </c>
      <c r="J1184" s="1">
        <v>5</v>
      </c>
      <c r="K1184" s="1">
        <v>272.99</v>
      </c>
      <c r="L1184" s="1">
        <v>91.18</v>
      </c>
      <c r="M1184" s="1">
        <v>27</v>
      </c>
      <c r="N1184" s="1" t="s">
        <v>122</v>
      </c>
      <c r="O1184" s="1" t="s">
        <v>35</v>
      </c>
    </row>
    <row r="1185" spans="1:15" x14ac:dyDescent="0.2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x14ac:dyDescent="0.25">
      <c r="A1186" s="1">
        <v>100385</v>
      </c>
      <c r="B1186" s="2">
        <v>45427</v>
      </c>
      <c r="C1186" s="1" t="s">
        <v>1221</v>
      </c>
      <c r="D1186" s="1" t="s">
        <v>100</v>
      </c>
      <c r="E1186" s="1" t="s">
        <v>25</v>
      </c>
      <c r="F1186" s="1" t="s">
        <v>1239</v>
      </c>
      <c r="G1186" s="1" t="s">
        <v>31</v>
      </c>
      <c r="H1186" s="1">
        <v>3</v>
      </c>
      <c r="I1186" s="1">
        <v>130.16</v>
      </c>
      <c r="J1186" s="1">
        <v>5</v>
      </c>
      <c r="K1186" s="1">
        <v>370.96</v>
      </c>
      <c r="L1186" s="1">
        <v>126.59</v>
      </c>
      <c r="M1186" s="1">
        <v>23</v>
      </c>
      <c r="N1186" s="1" t="s">
        <v>19</v>
      </c>
      <c r="O1186" s="1" t="s">
        <v>43</v>
      </c>
    </row>
    <row r="1187" spans="1:15" x14ac:dyDescent="0.25">
      <c r="A1187" s="1">
        <v>100805</v>
      </c>
      <c r="B1187" s="2">
        <v>45224</v>
      </c>
      <c r="C1187" s="1" t="s">
        <v>1222</v>
      </c>
      <c r="D1187" s="1" t="s">
        <v>29</v>
      </c>
      <c r="E1187" s="1" t="s">
        <v>30</v>
      </c>
      <c r="F1187" s="1" t="s">
        <v>1254</v>
      </c>
      <c r="G1187" s="1" t="s">
        <v>31</v>
      </c>
      <c r="H1187" s="1">
        <v>3</v>
      </c>
      <c r="I1187" s="1">
        <v>16.39</v>
      </c>
      <c r="J1187" s="1">
        <v>5</v>
      </c>
      <c r="K1187" s="1">
        <v>46.71</v>
      </c>
      <c r="L1187" s="1">
        <v>12.19</v>
      </c>
      <c r="M1187" s="1">
        <v>23</v>
      </c>
      <c r="N1187" s="1" t="s">
        <v>26</v>
      </c>
      <c r="O1187" s="1" t="s">
        <v>35</v>
      </c>
    </row>
    <row r="1188" spans="1:15" x14ac:dyDescent="0.25">
      <c r="A1188" s="1">
        <v>100343</v>
      </c>
      <c r="B1188" s="2">
        <v>45866</v>
      </c>
      <c r="C1188" s="1" t="s">
        <v>1223</v>
      </c>
      <c r="D1188" s="1" t="s">
        <v>24</v>
      </c>
      <c r="E1188" s="1" t="s">
        <v>25</v>
      </c>
      <c r="F1188" s="1" t="s">
        <v>1240</v>
      </c>
      <c r="G1188" s="1" t="s">
        <v>48</v>
      </c>
      <c r="H1188" s="1">
        <v>2</v>
      </c>
      <c r="I1188" s="1">
        <v>96.12</v>
      </c>
      <c r="J1188" s="1">
        <v>10</v>
      </c>
      <c r="K1188" s="1">
        <v>173.02</v>
      </c>
      <c r="L1188" s="1">
        <v>65.849999999999994</v>
      </c>
      <c r="M1188" s="1">
        <v>37</v>
      </c>
      <c r="N1188" s="1" t="s">
        <v>26</v>
      </c>
      <c r="O1188" s="1" t="s">
        <v>35</v>
      </c>
    </row>
    <row r="1189" spans="1:15" x14ac:dyDescent="0.2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x14ac:dyDescent="0.25">
      <c r="A1190" s="1">
        <v>100130</v>
      </c>
      <c r="B1190" s="2">
        <v>45608</v>
      </c>
      <c r="C1190" s="1" t="s">
        <v>1225</v>
      </c>
      <c r="D1190" s="1" t="s">
        <v>22</v>
      </c>
      <c r="E1190" s="1" t="s">
        <v>17</v>
      </c>
      <c r="F1190" s="1" t="s">
        <v>1240</v>
      </c>
      <c r="G1190" s="1" t="s">
        <v>64</v>
      </c>
      <c r="H1190" s="1">
        <v>2</v>
      </c>
      <c r="I1190" s="1">
        <v>25.2</v>
      </c>
      <c r="J1190" s="1">
        <v>5</v>
      </c>
      <c r="K1190" s="1">
        <v>47.88</v>
      </c>
      <c r="L1190" s="1">
        <v>13.03</v>
      </c>
      <c r="M1190" s="1">
        <v>27</v>
      </c>
      <c r="N1190" s="1" t="s">
        <v>26</v>
      </c>
      <c r="O1190" s="1" t="s">
        <v>27</v>
      </c>
    </row>
    <row r="1191" spans="1:15" x14ac:dyDescent="0.25">
      <c r="A1191" s="1">
        <v>100871</v>
      </c>
      <c r="B1191" s="2">
        <v>45774</v>
      </c>
      <c r="C1191" s="1" t="s">
        <v>1226</v>
      </c>
      <c r="D1191" s="1" t="s">
        <v>100</v>
      </c>
      <c r="E1191" s="1" t="s">
        <v>25</v>
      </c>
      <c r="F1191" s="1" t="s">
        <v>1240</v>
      </c>
      <c r="G1191" s="1" t="s">
        <v>31</v>
      </c>
      <c r="H1191" s="1">
        <v>5</v>
      </c>
      <c r="I1191" s="1">
        <v>127.61</v>
      </c>
      <c r="J1191" s="1">
        <v>5</v>
      </c>
      <c r="K1191" s="1">
        <v>606.15</v>
      </c>
      <c r="L1191" s="1">
        <v>149.27000000000001</v>
      </c>
      <c r="M1191" s="1">
        <v>30</v>
      </c>
      <c r="N1191" s="1" t="s">
        <v>19</v>
      </c>
      <c r="O1191" s="1" t="s">
        <v>81</v>
      </c>
    </row>
    <row r="1192" spans="1:15" x14ac:dyDescent="0.2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x14ac:dyDescent="0.2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x14ac:dyDescent="0.25">
      <c r="A1194" s="1">
        <v>100330</v>
      </c>
      <c r="B1194" s="2">
        <v>45262</v>
      </c>
      <c r="C1194" s="1" t="s">
        <v>1229</v>
      </c>
      <c r="D1194" s="1" t="s">
        <v>24</v>
      </c>
      <c r="E1194" s="1" t="s">
        <v>25</v>
      </c>
      <c r="F1194" s="1" t="s">
        <v>1240</v>
      </c>
      <c r="G1194" s="1" t="s">
        <v>18</v>
      </c>
      <c r="H1194" s="1">
        <v>4</v>
      </c>
      <c r="I1194" s="1">
        <v>95.63</v>
      </c>
      <c r="J1194" s="1">
        <v>0</v>
      </c>
      <c r="K1194" s="1">
        <v>382.52</v>
      </c>
      <c r="L1194" s="1">
        <v>105.82</v>
      </c>
      <c r="M1194" s="1">
        <v>32</v>
      </c>
      <c r="N1194" s="1" t="s">
        <v>19</v>
      </c>
      <c r="O1194" s="1" t="s">
        <v>20</v>
      </c>
    </row>
    <row r="1195" spans="1:15" x14ac:dyDescent="0.2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x14ac:dyDescent="0.25">
      <c r="A1196" s="1">
        <v>100121</v>
      </c>
      <c r="B1196" s="2">
        <v>45732</v>
      </c>
      <c r="C1196" s="1" t="s">
        <v>1231</v>
      </c>
      <c r="D1196" s="1" t="s">
        <v>66</v>
      </c>
      <c r="E1196" s="1" t="s">
        <v>17</v>
      </c>
      <c r="F1196" s="1" t="s">
        <v>1240</v>
      </c>
      <c r="G1196" s="1" t="s">
        <v>31</v>
      </c>
      <c r="H1196" s="1">
        <v>4</v>
      </c>
      <c r="I1196" s="1">
        <v>104.11</v>
      </c>
      <c r="J1196" s="1">
        <v>20</v>
      </c>
      <c r="K1196" s="1">
        <v>333.15</v>
      </c>
      <c r="L1196" s="1">
        <v>86.57</v>
      </c>
      <c r="M1196" s="1">
        <v>43</v>
      </c>
      <c r="N1196" s="1" t="s">
        <v>26</v>
      </c>
      <c r="O1196" s="1" t="s">
        <v>51</v>
      </c>
    </row>
    <row r="1197" spans="1:15" x14ac:dyDescent="0.25">
      <c r="A1197" s="1">
        <v>101044</v>
      </c>
      <c r="B1197" s="2">
        <v>45640</v>
      </c>
      <c r="C1197" s="1" t="s">
        <v>1232</v>
      </c>
      <c r="D1197" s="1" t="s">
        <v>68</v>
      </c>
      <c r="E1197" s="1" t="s">
        <v>25</v>
      </c>
      <c r="F1197" s="1" t="s">
        <v>1239</v>
      </c>
      <c r="G1197" s="1" t="s">
        <v>18</v>
      </c>
      <c r="H1197" s="1">
        <v>2</v>
      </c>
      <c r="I1197" s="1">
        <v>220.12</v>
      </c>
      <c r="J1197" s="1">
        <v>5</v>
      </c>
      <c r="K1197" s="1">
        <v>418.23</v>
      </c>
      <c r="L1197" s="1">
        <v>108.68</v>
      </c>
      <c r="M1197" s="1">
        <v>36</v>
      </c>
      <c r="N1197" s="1" t="s">
        <v>19</v>
      </c>
      <c r="O1197" s="1" t="s">
        <v>51</v>
      </c>
    </row>
    <row r="1198" spans="1:15" x14ac:dyDescent="0.25">
      <c r="A1198" s="1">
        <v>101095</v>
      </c>
      <c r="B1198" s="2">
        <v>45089</v>
      </c>
      <c r="C1198" s="1" t="s">
        <v>1233</v>
      </c>
      <c r="D1198" s="1" t="s">
        <v>77</v>
      </c>
      <c r="E1198" s="1" t="s">
        <v>30</v>
      </c>
      <c r="F1198" s="1" t="s">
        <v>1240</v>
      </c>
      <c r="G1198" s="1" t="s">
        <v>18</v>
      </c>
      <c r="H1198" s="1">
        <v>2</v>
      </c>
      <c r="I1198" s="1">
        <v>45.97</v>
      </c>
      <c r="J1198" s="1">
        <v>5</v>
      </c>
      <c r="K1198" s="1">
        <v>87.34</v>
      </c>
      <c r="L1198" s="1">
        <v>28.46</v>
      </c>
      <c r="M1198" s="1">
        <v>40</v>
      </c>
      <c r="N1198" s="1" t="s">
        <v>26</v>
      </c>
      <c r="O1198" s="1" t="s">
        <v>27</v>
      </c>
    </row>
    <row r="1199" spans="1:15" x14ac:dyDescent="0.2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x14ac:dyDescent="0.2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x14ac:dyDescent="0.25">
      <c r="A1201" s="1">
        <v>101126</v>
      </c>
      <c r="B1201" s="2">
        <v>45875</v>
      </c>
      <c r="C1201" s="1" t="s">
        <v>1236</v>
      </c>
      <c r="D1201" s="1" t="s">
        <v>87</v>
      </c>
      <c r="E1201" s="1" t="s">
        <v>25</v>
      </c>
      <c r="F1201" s="1" t="s">
        <v>1240</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B2:K110"/>
  <sheetViews>
    <sheetView topLeftCell="A43" zoomScaleNormal="100" workbookViewId="0">
      <selection activeCell="G51" sqref="G51"/>
    </sheetView>
  </sheetViews>
  <sheetFormatPr defaultRowHeight="15" x14ac:dyDescent="0.25"/>
  <cols>
    <col min="2" max="3" width="13.42578125" bestFit="1" customWidth="1"/>
    <col min="4" max="4" width="12.7109375" bestFit="1" customWidth="1"/>
    <col min="5" max="5" width="13.42578125" bestFit="1" customWidth="1"/>
    <col min="6" max="6" width="12.7109375" bestFit="1" customWidth="1"/>
    <col min="7" max="7" width="16.85546875" bestFit="1" customWidth="1"/>
    <col min="8" max="8" width="9" bestFit="1" customWidth="1"/>
  </cols>
  <sheetData>
    <row r="2" spans="3:8" x14ac:dyDescent="0.25">
      <c r="C2" s="5" t="s">
        <v>1241</v>
      </c>
      <c r="D2" t="s">
        <v>1243</v>
      </c>
    </row>
    <row r="3" spans="3:8" x14ac:dyDescent="0.25">
      <c r="C3" s="4" t="s">
        <v>19</v>
      </c>
      <c r="D3" s="6">
        <v>37179.570000000007</v>
      </c>
    </row>
    <row r="4" spans="3:8" x14ac:dyDescent="0.25">
      <c r="C4" s="7" t="s">
        <v>30</v>
      </c>
      <c r="D4" s="6">
        <v>4661.0200000000004</v>
      </c>
    </row>
    <row r="5" spans="3:8" x14ac:dyDescent="0.25">
      <c r="C5" s="7" t="s">
        <v>17</v>
      </c>
      <c r="D5" s="6">
        <v>9682.5</v>
      </c>
    </row>
    <row r="6" spans="3:8" x14ac:dyDescent="0.25">
      <c r="C6" s="7" t="s">
        <v>25</v>
      </c>
      <c r="D6" s="6">
        <v>22836.05000000001</v>
      </c>
    </row>
    <row r="7" spans="3:8" x14ac:dyDescent="0.25">
      <c r="C7" s="4" t="s">
        <v>26</v>
      </c>
      <c r="D7" s="6">
        <v>46721.609999999993</v>
      </c>
    </row>
    <row r="8" spans="3:8" x14ac:dyDescent="0.25">
      <c r="C8" s="7" t="s">
        <v>30</v>
      </c>
      <c r="D8" s="6">
        <v>5465.4100000000008</v>
      </c>
    </row>
    <row r="9" spans="3:8" x14ac:dyDescent="0.25">
      <c r="C9" s="7" t="s">
        <v>17</v>
      </c>
      <c r="D9" s="6">
        <v>11959.75</v>
      </c>
    </row>
    <row r="10" spans="3:8" x14ac:dyDescent="0.25">
      <c r="C10" s="7" t="s">
        <v>25</v>
      </c>
      <c r="D10" s="6">
        <v>29296.449999999993</v>
      </c>
    </row>
    <row r="11" spans="3:8" x14ac:dyDescent="0.25">
      <c r="C11" s="4" t="s">
        <v>122</v>
      </c>
      <c r="D11" s="6">
        <v>1168.6699999999998</v>
      </c>
    </row>
    <row r="13" spans="3:8" x14ac:dyDescent="0.25">
      <c r="H13" s="4"/>
    </row>
    <row r="14" spans="3:8" x14ac:dyDescent="0.25">
      <c r="H14" s="4"/>
    </row>
    <row r="15" spans="3:8" x14ac:dyDescent="0.25">
      <c r="H15" s="4"/>
    </row>
    <row r="16" spans="3:8" x14ac:dyDescent="0.25">
      <c r="H16" s="4"/>
    </row>
    <row r="17" spans="3:8" x14ac:dyDescent="0.25">
      <c r="C17" s="5" t="s">
        <v>1241</v>
      </c>
      <c r="D17" t="s">
        <v>1251</v>
      </c>
      <c r="H17" s="4"/>
    </row>
    <row r="18" spans="3:8" x14ac:dyDescent="0.25">
      <c r="C18" s="4" t="s">
        <v>1244</v>
      </c>
      <c r="D18" s="6">
        <v>107348.43000000001</v>
      </c>
    </row>
    <row r="19" spans="3:8" x14ac:dyDescent="0.25">
      <c r="C19" s="7" t="s">
        <v>1247</v>
      </c>
      <c r="D19" s="6">
        <v>21037.48000000001</v>
      </c>
    </row>
    <row r="20" spans="3:8" x14ac:dyDescent="0.25">
      <c r="C20" s="7" t="s">
        <v>1248</v>
      </c>
      <c r="D20" s="6">
        <v>28726.329999999991</v>
      </c>
    </row>
    <row r="21" spans="3:8" x14ac:dyDescent="0.25">
      <c r="C21" s="7" t="s">
        <v>1249</v>
      </c>
      <c r="D21" s="6">
        <v>26262.350000000002</v>
      </c>
    </row>
    <row r="22" spans="3:8" x14ac:dyDescent="0.25">
      <c r="C22" s="7" t="s">
        <v>1250</v>
      </c>
      <c r="D22" s="6">
        <v>31322.27</v>
      </c>
    </row>
    <row r="23" spans="3:8" x14ac:dyDescent="0.25">
      <c r="C23" s="4" t="s">
        <v>1245</v>
      </c>
      <c r="D23" s="6">
        <v>103229.75</v>
      </c>
    </row>
    <row r="24" spans="3:8" x14ac:dyDescent="0.25">
      <c r="C24" s="7" t="s">
        <v>1247</v>
      </c>
      <c r="D24" s="6">
        <v>28801.150000000005</v>
      </c>
    </row>
    <row r="25" spans="3:8" x14ac:dyDescent="0.25">
      <c r="C25" s="7" t="s">
        <v>1248</v>
      </c>
      <c r="D25" s="6">
        <v>25681.170000000009</v>
      </c>
    </row>
    <row r="26" spans="3:8" x14ac:dyDescent="0.25">
      <c r="C26" s="7" t="s">
        <v>1249</v>
      </c>
      <c r="D26" s="6">
        <v>22498.079999999994</v>
      </c>
    </row>
    <row r="27" spans="3:8" x14ac:dyDescent="0.25">
      <c r="C27" s="7" t="s">
        <v>1250</v>
      </c>
      <c r="D27" s="6">
        <v>26249.349999999995</v>
      </c>
    </row>
    <row r="28" spans="3:8" x14ac:dyDescent="0.25">
      <c r="C28" s="4" t="s">
        <v>1246</v>
      </c>
      <c r="D28" s="6">
        <v>76799.74000000002</v>
      </c>
    </row>
    <row r="29" spans="3:8" x14ac:dyDescent="0.25">
      <c r="C29" s="7" t="s">
        <v>1247</v>
      </c>
      <c r="D29" s="6">
        <v>24701.390000000007</v>
      </c>
    </row>
    <row r="30" spans="3:8" x14ac:dyDescent="0.25">
      <c r="C30" s="7" t="s">
        <v>1248</v>
      </c>
      <c r="D30" s="6">
        <v>26518.060000000016</v>
      </c>
    </row>
    <row r="31" spans="3:8" x14ac:dyDescent="0.25">
      <c r="C31" s="7" t="s">
        <v>1249</v>
      </c>
      <c r="D31" s="6">
        <v>25580.289999999997</v>
      </c>
    </row>
    <row r="34" spans="3:4" x14ac:dyDescent="0.25">
      <c r="C34" s="5" t="s">
        <v>1241</v>
      </c>
      <c r="D34" t="s">
        <v>1243</v>
      </c>
    </row>
    <row r="35" spans="3:4" x14ac:dyDescent="0.25">
      <c r="C35" s="4" t="s">
        <v>1237</v>
      </c>
      <c r="D35" s="6">
        <v>25519.30999999999</v>
      </c>
    </row>
    <row r="36" spans="3:4" x14ac:dyDescent="0.25">
      <c r="C36" s="4" t="s">
        <v>1240</v>
      </c>
      <c r="D36" s="6">
        <v>24051.610000000015</v>
      </c>
    </row>
    <row r="37" spans="3:4" x14ac:dyDescent="0.25">
      <c r="C37" s="4" t="s">
        <v>1239</v>
      </c>
      <c r="D37" s="6">
        <v>5248.5199999999995</v>
      </c>
    </row>
    <row r="38" spans="3:4" x14ac:dyDescent="0.25">
      <c r="C38" s="4" t="s">
        <v>1238</v>
      </c>
      <c r="D38" s="6">
        <v>20403.559999999994</v>
      </c>
    </row>
    <row r="39" spans="3:4" x14ac:dyDescent="0.25">
      <c r="C39" s="4" t="s">
        <v>1254</v>
      </c>
      <c r="D39" s="6">
        <v>9846.8499999999985</v>
      </c>
    </row>
    <row r="42" spans="3:4" x14ac:dyDescent="0.25">
      <c r="C42" s="5" t="s">
        <v>1241</v>
      </c>
      <c r="D42" t="s">
        <v>1252</v>
      </c>
    </row>
    <row r="43" spans="3:4" x14ac:dyDescent="0.25">
      <c r="C43" s="4" t="s">
        <v>18</v>
      </c>
      <c r="D43" s="9">
        <v>0.45750000000000002</v>
      </c>
    </row>
    <row r="44" spans="3:4" x14ac:dyDescent="0.25">
      <c r="C44" s="4" t="s">
        <v>48</v>
      </c>
      <c r="D44" s="9">
        <v>0.11749999999999999</v>
      </c>
    </row>
    <row r="45" spans="3:4" x14ac:dyDescent="0.25">
      <c r="C45" s="4" t="s">
        <v>31</v>
      </c>
      <c r="D45" s="9">
        <v>0.35166666666666668</v>
      </c>
    </row>
    <row r="46" spans="3:4" x14ac:dyDescent="0.25">
      <c r="C46" s="4" t="s">
        <v>64</v>
      </c>
      <c r="D46" s="9">
        <v>7.3333333333333334E-2</v>
      </c>
    </row>
    <row r="47" spans="3:4" x14ac:dyDescent="0.25">
      <c r="C47" s="4" t="s">
        <v>1242</v>
      </c>
      <c r="D47" s="8">
        <v>1</v>
      </c>
    </row>
    <row r="49" spans="3:11" x14ac:dyDescent="0.25">
      <c r="C49" t="s">
        <v>1253</v>
      </c>
    </row>
    <row r="50" spans="3:11" x14ac:dyDescent="0.25">
      <c r="C50" s="6">
        <v>3550</v>
      </c>
    </row>
    <row r="52" spans="3:11" x14ac:dyDescent="0.25">
      <c r="C52" t="s">
        <v>1243</v>
      </c>
    </row>
    <row r="53" spans="3:11" x14ac:dyDescent="0.25">
      <c r="C53" s="6">
        <v>85069.85000000002</v>
      </c>
    </row>
    <row r="55" spans="3:11" x14ac:dyDescent="0.25">
      <c r="C55" t="s">
        <v>1256</v>
      </c>
      <c r="E55" s="5" t="s">
        <v>1241</v>
      </c>
      <c r="F55" t="s">
        <v>1255</v>
      </c>
    </row>
    <row r="56" spans="3:11" x14ac:dyDescent="0.25">
      <c r="C56" s="6">
        <v>1200</v>
      </c>
      <c r="E56" s="4" t="s">
        <v>37</v>
      </c>
      <c r="F56" s="6">
        <v>3683.3300000000008</v>
      </c>
    </row>
    <row r="57" spans="3:11" x14ac:dyDescent="0.25">
      <c r="E57" s="4" t="s">
        <v>73</v>
      </c>
      <c r="F57" s="6">
        <v>2103.33</v>
      </c>
    </row>
    <row r="58" spans="3:11" x14ac:dyDescent="0.25">
      <c r="E58" s="4" t="s">
        <v>42</v>
      </c>
      <c r="F58" s="6">
        <v>10050.700000000004</v>
      </c>
    </row>
    <row r="59" spans="3:11" x14ac:dyDescent="0.25">
      <c r="E59" s="4" t="s">
        <v>22</v>
      </c>
      <c r="F59" s="6">
        <v>1309.93</v>
      </c>
    </row>
    <row r="60" spans="3:11" x14ac:dyDescent="0.25">
      <c r="E60" s="4" t="s">
        <v>56</v>
      </c>
      <c r="F60" s="6">
        <v>1665.6500000000005</v>
      </c>
    </row>
    <row r="61" spans="3:11" x14ac:dyDescent="0.25">
      <c r="E61" s="4" t="s">
        <v>100</v>
      </c>
      <c r="F61" s="6">
        <v>6723.119999999999</v>
      </c>
    </row>
    <row r="62" spans="3:11" x14ac:dyDescent="0.25">
      <c r="E62" s="4" t="s">
        <v>34</v>
      </c>
      <c r="F62" s="6">
        <v>3653.0799999999995</v>
      </c>
      <c r="I62" s="12"/>
      <c r="J62" s="13"/>
      <c r="K62" s="14"/>
    </row>
    <row r="63" spans="3:11" x14ac:dyDescent="0.25">
      <c r="E63" s="4" t="s">
        <v>29</v>
      </c>
      <c r="F63" s="6">
        <v>1117.1099999999997</v>
      </c>
      <c r="I63" s="15"/>
      <c r="J63" s="16"/>
      <c r="K63" s="17"/>
    </row>
    <row r="64" spans="3:11" x14ac:dyDescent="0.25">
      <c r="E64" s="4" t="s">
        <v>68</v>
      </c>
      <c r="F64" s="6">
        <v>12701.439999999999</v>
      </c>
      <c r="I64" s="15"/>
      <c r="J64" s="16"/>
      <c r="K64" s="17"/>
    </row>
    <row r="65" spans="2:11" x14ac:dyDescent="0.25">
      <c r="E65" s="4" t="s">
        <v>62</v>
      </c>
      <c r="F65" s="6">
        <v>9702.8100000000013</v>
      </c>
      <c r="I65" s="15"/>
      <c r="J65" s="16"/>
      <c r="K65" s="17"/>
    </row>
    <row r="66" spans="2:11" x14ac:dyDescent="0.25">
      <c r="E66" s="4" t="s">
        <v>77</v>
      </c>
      <c r="F66" s="6">
        <v>2350.65</v>
      </c>
      <c r="I66" s="15"/>
      <c r="J66" s="16"/>
      <c r="K66" s="17"/>
    </row>
    <row r="67" spans="2:11" x14ac:dyDescent="0.25">
      <c r="E67" s="4" t="s">
        <v>45</v>
      </c>
      <c r="F67" s="6">
        <v>985.99</v>
      </c>
      <c r="I67" s="15"/>
      <c r="J67" s="16"/>
      <c r="K67" s="17"/>
    </row>
    <row r="68" spans="2:11" x14ac:dyDescent="0.25">
      <c r="E68" s="4" t="s">
        <v>87</v>
      </c>
      <c r="F68" s="6">
        <v>6385.2</v>
      </c>
      <c r="I68" s="15"/>
      <c r="J68" s="16"/>
      <c r="K68" s="17"/>
    </row>
    <row r="69" spans="2:11" x14ac:dyDescent="0.25">
      <c r="E69" s="4" t="s">
        <v>24</v>
      </c>
      <c r="F69" s="6">
        <v>6942.2599999999966</v>
      </c>
      <c r="I69" s="15"/>
      <c r="J69" s="16"/>
      <c r="K69" s="17"/>
    </row>
    <row r="70" spans="2:11" x14ac:dyDescent="0.25">
      <c r="E70" s="4" t="s">
        <v>16</v>
      </c>
      <c r="F70" s="6">
        <v>2587.7300000000005</v>
      </c>
      <c r="I70" s="15"/>
      <c r="J70" s="16"/>
      <c r="K70" s="17"/>
    </row>
    <row r="71" spans="2:11" x14ac:dyDescent="0.25">
      <c r="E71" s="4" t="s">
        <v>53</v>
      </c>
      <c r="F71" s="6">
        <v>1364.2099999999998</v>
      </c>
      <c r="I71" s="15"/>
      <c r="J71" s="16"/>
      <c r="K71" s="17"/>
    </row>
    <row r="72" spans="2:11" x14ac:dyDescent="0.25">
      <c r="E72" s="4" t="s">
        <v>59</v>
      </c>
      <c r="F72" s="6">
        <v>1713.8400000000001</v>
      </c>
      <c r="I72" s="15"/>
      <c r="J72" s="16"/>
      <c r="K72" s="17"/>
    </row>
    <row r="73" spans="2:11" x14ac:dyDescent="0.25">
      <c r="E73" s="4" t="s">
        <v>39</v>
      </c>
      <c r="F73" s="6">
        <v>9079.4000000000015</v>
      </c>
      <c r="I73" s="15"/>
      <c r="J73" s="16"/>
      <c r="K73" s="17"/>
    </row>
    <row r="74" spans="2:11" x14ac:dyDescent="0.25">
      <c r="E74" s="4" t="s">
        <v>70</v>
      </c>
      <c r="F74" s="6">
        <v>10582.960000000005</v>
      </c>
      <c r="I74" s="15"/>
      <c r="J74" s="16"/>
      <c r="K74" s="17"/>
    </row>
    <row r="75" spans="2:11" x14ac:dyDescent="0.25">
      <c r="E75" s="4" t="s">
        <v>66</v>
      </c>
      <c r="F75" s="6">
        <v>8592.0199999999986</v>
      </c>
      <c r="I75" s="15"/>
      <c r="J75" s="16"/>
      <c r="K75" s="17"/>
    </row>
    <row r="76" spans="2:11" x14ac:dyDescent="0.25">
      <c r="E76" s="4" t="s">
        <v>1242</v>
      </c>
      <c r="F76" s="6">
        <v>103294.76000000001</v>
      </c>
      <c r="I76" s="15"/>
      <c r="J76" s="16"/>
      <c r="K76" s="17"/>
    </row>
    <row r="77" spans="2:11" x14ac:dyDescent="0.25">
      <c r="I77" s="15"/>
      <c r="J77" s="16"/>
      <c r="K77" s="17"/>
    </row>
    <row r="78" spans="2:11" x14ac:dyDescent="0.25">
      <c r="I78" s="15"/>
      <c r="J78" s="16"/>
      <c r="K78" s="17"/>
    </row>
    <row r="79" spans="2:11" x14ac:dyDescent="0.25">
      <c r="I79" s="18"/>
      <c r="J79" s="19"/>
      <c r="K79" s="20"/>
    </row>
    <row r="80" spans="2:11" x14ac:dyDescent="0.25">
      <c r="B80" s="5" t="s">
        <v>1241</v>
      </c>
      <c r="C80" t="s">
        <v>1243</v>
      </c>
      <c r="E80" s="5" t="s">
        <v>1241</v>
      </c>
      <c r="F80" t="s">
        <v>1243</v>
      </c>
    </row>
    <row r="81" spans="2:6" x14ac:dyDescent="0.25">
      <c r="B81" s="4" t="s">
        <v>32</v>
      </c>
      <c r="C81" s="6">
        <v>11563.559999999994</v>
      </c>
      <c r="E81" s="4" t="s">
        <v>1237</v>
      </c>
      <c r="F81" s="6">
        <v>25519.30999999999</v>
      </c>
    </row>
    <row r="82" spans="2:6" x14ac:dyDescent="0.25">
      <c r="B82" s="4" t="s">
        <v>43</v>
      </c>
      <c r="C82" s="6">
        <v>9972.86</v>
      </c>
      <c r="E82" s="4" t="s">
        <v>1240</v>
      </c>
      <c r="F82" s="6">
        <v>24051.610000000015</v>
      </c>
    </row>
    <row r="83" spans="2:6" x14ac:dyDescent="0.25">
      <c r="B83" s="4" t="s">
        <v>81</v>
      </c>
      <c r="C83" s="6">
        <v>9167.84</v>
      </c>
      <c r="E83" s="4" t="s">
        <v>1239</v>
      </c>
      <c r="F83" s="6">
        <v>5248.5199999999995</v>
      </c>
    </row>
    <row r="84" spans="2:6" x14ac:dyDescent="0.25">
      <c r="B84" s="4" t="s">
        <v>27</v>
      </c>
      <c r="C84" s="6">
        <v>11414.34</v>
      </c>
      <c r="E84" s="4" t="s">
        <v>1238</v>
      </c>
      <c r="F84" s="6">
        <v>20403.559999999994</v>
      </c>
    </row>
    <row r="85" spans="2:6" x14ac:dyDescent="0.25">
      <c r="B85" s="4" t="s">
        <v>46</v>
      </c>
      <c r="C85" s="6">
        <v>8391.8999999999978</v>
      </c>
      <c r="E85" s="4" t="s">
        <v>1254</v>
      </c>
      <c r="F85" s="6">
        <v>9846.8499999999985</v>
      </c>
    </row>
    <row r="86" spans="2:6" x14ac:dyDescent="0.25">
      <c r="B86" s="4" t="s">
        <v>20</v>
      </c>
      <c r="C86" s="6">
        <v>11583.89</v>
      </c>
    </row>
    <row r="87" spans="2:6" x14ac:dyDescent="0.25">
      <c r="B87" s="4" t="s">
        <v>35</v>
      </c>
      <c r="C87" s="6">
        <v>12504.73</v>
      </c>
    </row>
    <row r="88" spans="2:6" x14ac:dyDescent="0.25">
      <c r="B88" s="4" t="s">
        <v>51</v>
      </c>
      <c r="C88" s="6">
        <v>10470.729999999998</v>
      </c>
    </row>
    <row r="89" spans="2:6" x14ac:dyDescent="0.25">
      <c r="B89" s="4" t="s">
        <v>1242</v>
      </c>
      <c r="C89" s="6">
        <v>85069.849999999977</v>
      </c>
    </row>
    <row r="104" spans="3:4" x14ac:dyDescent="0.25">
      <c r="C104" s="5" t="s">
        <v>1241</v>
      </c>
      <c r="D104" t="s">
        <v>1243</v>
      </c>
    </row>
    <row r="105" spans="3:4" x14ac:dyDescent="0.25">
      <c r="C105" s="4" t="s">
        <v>1237</v>
      </c>
      <c r="D105" s="6">
        <v>25519.30999999999</v>
      </c>
    </row>
    <row r="106" spans="3:4" x14ac:dyDescent="0.25">
      <c r="C106" s="4" t="s">
        <v>1240</v>
      </c>
      <c r="D106" s="6">
        <v>24051.610000000015</v>
      </c>
    </row>
    <row r="107" spans="3:4" x14ac:dyDescent="0.25">
      <c r="C107" s="4" t="s">
        <v>1239</v>
      </c>
      <c r="D107" s="6">
        <v>5248.5199999999995</v>
      </c>
    </row>
    <row r="108" spans="3:4" x14ac:dyDescent="0.25">
      <c r="C108" s="4" t="s">
        <v>1238</v>
      </c>
      <c r="D108" s="6">
        <v>20403.559999999994</v>
      </c>
    </row>
    <row r="109" spans="3:4" x14ac:dyDescent="0.25">
      <c r="C109" s="4" t="s">
        <v>1254</v>
      </c>
      <c r="D109" s="6">
        <v>9846.8499999999985</v>
      </c>
    </row>
    <row r="110" spans="3:4" x14ac:dyDescent="0.25">
      <c r="C110" s="4" t="s">
        <v>1242</v>
      </c>
      <c r="D110" s="6">
        <v>85069.85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B1:X5"/>
  <sheetViews>
    <sheetView showGridLines="0" tabSelected="1" zoomScale="55" zoomScaleNormal="55" workbookViewId="0">
      <selection activeCell="AA12" sqref="AA12"/>
    </sheetView>
  </sheetViews>
  <sheetFormatPr defaultRowHeight="15" x14ac:dyDescent="0.25"/>
  <cols>
    <col min="3" max="3" width="14.28515625" customWidth="1"/>
    <col min="4" max="4" width="19.85546875" bestFit="1" customWidth="1"/>
    <col min="5" max="5" width="18.28515625" bestFit="1" customWidth="1"/>
    <col min="7" max="7" width="15.7109375" bestFit="1" customWidth="1"/>
    <col min="8" max="8" width="14" customWidth="1"/>
    <col min="9" max="9" width="23.85546875" customWidth="1"/>
    <col min="12" max="12" width="10.7109375" bestFit="1" customWidth="1"/>
    <col min="13" max="13" width="14" bestFit="1" customWidth="1"/>
    <col min="15" max="15" width="13.5703125" customWidth="1"/>
    <col min="16" max="16" width="9.5703125" bestFit="1" customWidth="1"/>
    <col min="18" max="18" width="73.140625" hidden="1" customWidth="1"/>
    <col min="22" max="22" width="11.85546875" bestFit="1" customWidth="1"/>
    <col min="23" max="23" width="14.7109375" bestFit="1" customWidth="1"/>
    <col min="24" max="24" width="20.7109375" customWidth="1"/>
  </cols>
  <sheetData>
    <row r="1" spans="2:24" ht="15" customHeight="1" x14ac:dyDescent="0.25">
      <c r="B1" s="28" t="s">
        <v>1257</v>
      </c>
      <c r="C1" s="29"/>
      <c r="D1" s="29"/>
      <c r="E1" s="29"/>
      <c r="F1" s="29"/>
      <c r="G1" s="29"/>
      <c r="H1" s="29"/>
      <c r="I1" s="29"/>
      <c r="J1" s="29"/>
      <c r="K1" s="29"/>
      <c r="L1" s="29"/>
      <c r="M1" s="29"/>
      <c r="N1" s="29"/>
      <c r="O1" s="29"/>
      <c r="P1" s="29"/>
      <c r="Q1" s="29"/>
      <c r="R1" s="29"/>
      <c r="S1" s="29"/>
      <c r="T1" s="29"/>
      <c r="U1" s="29"/>
      <c r="V1" s="29"/>
      <c r="W1" s="29"/>
      <c r="X1" s="29"/>
    </row>
    <row r="2" spans="2:24" ht="15" customHeight="1" x14ac:dyDescent="0.25">
      <c r="B2" s="29"/>
      <c r="C2" s="29"/>
      <c r="D2" s="29"/>
      <c r="E2" s="29"/>
      <c r="F2" s="29"/>
      <c r="G2" s="29"/>
      <c r="H2" s="29"/>
      <c r="I2" s="29"/>
      <c r="J2" s="29"/>
      <c r="K2" s="29"/>
      <c r="L2" s="29"/>
      <c r="M2" s="29"/>
      <c r="N2" s="29"/>
      <c r="O2" s="29"/>
      <c r="P2" s="29"/>
      <c r="Q2" s="29"/>
      <c r="R2" s="29"/>
      <c r="S2" s="29"/>
      <c r="T2" s="29"/>
      <c r="U2" s="29"/>
      <c r="V2" s="29"/>
      <c r="W2" s="29"/>
      <c r="X2" s="29"/>
    </row>
    <row r="3" spans="2:24" ht="15" customHeight="1" x14ac:dyDescent="0.25">
      <c r="B3" s="29"/>
      <c r="C3" s="29"/>
      <c r="D3" s="29"/>
      <c r="E3" s="29"/>
      <c r="F3" s="29"/>
      <c r="G3" s="29"/>
      <c r="H3" s="29"/>
      <c r="I3" s="29"/>
      <c r="J3" s="29"/>
      <c r="K3" s="29"/>
      <c r="L3" s="29"/>
      <c r="M3" s="29"/>
      <c r="N3" s="29"/>
      <c r="O3" s="29"/>
      <c r="P3" s="29"/>
      <c r="Q3" s="29"/>
      <c r="R3" s="29"/>
      <c r="S3" s="29"/>
      <c r="T3" s="29"/>
      <c r="U3" s="29"/>
      <c r="V3" s="29"/>
      <c r="W3" s="29"/>
      <c r="X3" s="29"/>
    </row>
    <row r="4" spans="2:24" ht="30.75" customHeight="1" x14ac:dyDescent="0.25">
      <c r="B4" s="21"/>
      <c r="C4" s="22" t="s">
        <v>1258</v>
      </c>
      <c r="D4" s="23">
        <f>GETPIVOTDATA("Units_Sold",'Pivot Tables'!$C$49)</f>
        <v>3550</v>
      </c>
      <c r="E4" s="24"/>
      <c r="F4" s="24"/>
      <c r="G4" s="24"/>
      <c r="H4" s="21"/>
      <c r="I4" s="21"/>
      <c r="J4" s="24"/>
      <c r="K4" s="24"/>
      <c r="L4" s="25" t="s">
        <v>1260</v>
      </c>
      <c r="M4" s="24">
        <f>'Pivot Tables'!$C$53</f>
        <v>85069.85000000002</v>
      </c>
      <c r="N4" s="24"/>
      <c r="O4" s="24"/>
      <c r="P4" s="24"/>
      <c r="Q4" s="24"/>
      <c r="R4" s="24"/>
      <c r="S4" s="24"/>
      <c r="T4" s="24"/>
      <c r="U4" s="24"/>
      <c r="V4" s="25" t="s">
        <v>1259</v>
      </c>
      <c r="W4" s="26">
        <f>'Pivot Tables'!$C$56</f>
        <v>1200</v>
      </c>
      <c r="X4" s="27"/>
    </row>
    <row r="5" spans="2:24" ht="15" customHeight="1" x14ac:dyDescent="0.25">
      <c r="B5" s="10"/>
      <c r="C5" s="10"/>
      <c r="D5" s="10"/>
      <c r="E5" s="10"/>
      <c r="F5" s="10"/>
      <c r="G5" s="10"/>
      <c r="H5" s="10"/>
      <c r="I5" s="10"/>
      <c r="J5" s="10"/>
      <c r="K5" s="10"/>
      <c r="L5" s="10"/>
      <c r="M5" s="10"/>
      <c r="N5" s="10"/>
      <c r="O5" s="10"/>
      <c r="P5" s="10"/>
      <c r="Q5" s="10"/>
      <c r="R5" s="10"/>
      <c r="S5" s="11"/>
      <c r="T5" s="11"/>
      <c r="U5" s="11"/>
      <c r="V5" s="11"/>
      <c r="W5" s="11"/>
      <c r="X5" s="11"/>
    </row>
  </sheetData>
  <mergeCells count="2">
    <mergeCell ref="B1:X3"/>
    <mergeCell ref="B5:R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Abdelrahman Abdo</cp:lastModifiedBy>
  <dcterms:created xsi:type="dcterms:W3CDTF">2026-05-16T15:47:08Z</dcterms:created>
  <dcterms:modified xsi:type="dcterms:W3CDTF">2026-06-18T14:58:19Z</dcterms:modified>
</cp:coreProperties>
</file>